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200711\Desktop\sahith_welspun_own\Manning_FInal_sheets\"/>
    </mc:Choice>
  </mc:AlternateContent>
  <xr:revisionPtr revIDLastSave="0" documentId="13_ncr:1_{963D8663-2511-47F1-A1A2-E4DC3C13C718}" xr6:coauthVersionLast="47" xr6:coauthVersionMax="47" xr10:uidLastSave="{00000000-0000-0000-0000-000000000000}"/>
  <bookViews>
    <workbookView xWindow="-108" yWindow="-108" windowWidth="23256" windowHeight="13896" xr2:uid="{AE9D74B8-CDDF-4B26-A051-7E6D95F9E466}"/>
  </bookViews>
  <sheets>
    <sheet name="Anjar" sheetId="1" r:id="rId1"/>
    <sheet name="Spinning" sheetId="2" r:id="rId2"/>
  </sheets>
  <definedNames>
    <definedName name="_xlnm._FilterDatabase" localSheetId="0" hidden="1">Anjar!$A$1:$Y$443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3" i="1" l="1"/>
  <c r="K9" i="1"/>
  <c r="K7" i="1"/>
</calcChain>
</file>

<file path=xl/sharedStrings.xml><?xml version="1.0" encoding="utf-8"?>
<sst xmlns="http://schemas.openxmlformats.org/spreadsheetml/2006/main" count="4603" uniqueCount="853">
  <si>
    <t>Location</t>
  </si>
  <si>
    <t>Business</t>
  </si>
  <si>
    <t>Section</t>
  </si>
  <si>
    <t>Sr_No</t>
  </si>
  <si>
    <t>Dept_Machine_Name</t>
  </si>
  <si>
    <t>Designation</t>
  </si>
  <si>
    <t>Machine_Count</t>
  </si>
  <si>
    <t>Workload</t>
  </si>
  <si>
    <t>Formulas</t>
  </si>
  <si>
    <t>BE_Scientific_Manpower</t>
  </si>
  <si>
    <t>Operator_Type</t>
  </si>
  <si>
    <t>Contractors</t>
  </si>
  <si>
    <t>Company_Associate</t>
  </si>
  <si>
    <t>BE_Final_Manpower</t>
  </si>
  <si>
    <t>N_shift</t>
  </si>
  <si>
    <t>General_Shift</t>
  </si>
  <si>
    <t>Shift_A</t>
  </si>
  <si>
    <t>Shift_B</t>
  </si>
  <si>
    <t>Shift_C</t>
  </si>
  <si>
    <t>Reliever</t>
  </si>
  <si>
    <t>Remarks</t>
  </si>
  <si>
    <t>SkillType</t>
  </si>
  <si>
    <t>Anjar</t>
  </si>
  <si>
    <t>ForkLift</t>
  </si>
  <si>
    <t>Source total</t>
  </si>
  <si>
    <t>Company</t>
  </si>
  <si>
    <t>No workload text | default general</t>
  </si>
  <si>
    <t>Skilled</t>
  </si>
  <si>
    <t>Spinning</t>
  </si>
  <si>
    <t>Spinning 1 &amp; 2 Preparatory</t>
  </si>
  <si>
    <t>Blow Room</t>
  </si>
  <si>
    <t>Operator</t>
  </si>
  <si>
    <t>7 Line</t>
  </si>
  <si>
    <t>3.5 Line / Operator</t>
  </si>
  <si>
    <t>ROUNDUP(7/3.5,0)*3</t>
  </si>
  <si>
    <t>Carding &amp; Dr. Breaker</t>
  </si>
  <si>
    <t>33 &amp; 16 No. Of delivery</t>
  </si>
  <si>
    <t>12.25 Delivery / Operator</t>
  </si>
  <si>
    <t>ROUNDUP(49/12.25,0)*3</t>
  </si>
  <si>
    <t>Unilap &amp; Comber</t>
  </si>
  <si>
    <t>5 &amp; 26</t>
  </si>
  <si>
    <t>6 M/C / Operator</t>
  </si>
  <si>
    <t>ROUNDUP(31/6,0)*3</t>
  </si>
  <si>
    <t>Finisher</t>
  </si>
  <si>
    <t>15 No. Of Delivery</t>
  </si>
  <si>
    <t>4 Delivery/Operator</t>
  </si>
  <si>
    <t>SpeedFrame-A</t>
  </si>
  <si>
    <t>8 M/C</t>
  </si>
  <si>
    <t>1.2 M/C /Operator</t>
  </si>
  <si>
    <t>ROUNDUP(8/1.2,0)*3</t>
  </si>
  <si>
    <t>Creeler</t>
  </si>
  <si>
    <t>No workload text</t>
  </si>
  <si>
    <t>SpeedFrame-B</t>
  </si>
  <si>
    <t>3 M/C / Operator</t>
  </si>
  <si>
    <t>ROUNDUP(8/3,0)*3</t>
  </si>
  <si>
    <t>Jobber</t>
  </si>
  <si>
    <t>No workload text | default 3-shift split</t>
  </si>
  <si>
    <t>Releiver</t>
  </si>
  <si>
    <t>Spinning -1</t>
  </si>
  <si>
    <t>Ringframe -A</t>
  </si>
  <si>
    <t>24 M/C (1104 Spindle / Machine ) 25496 Spindle</t>
  </si>
  <si>
    <t>2.5 M/C / Operator</t>
  </si>
  <si>
    <t>Mixed</t>
  </si>
  <si>
    <t>Batch Creeling</t>
  </si>
  <si>
    <t>6 M/C / Creeler</t>
  </si>
  <si>
    <t>Tube Feeder Or Transpoter</t>
  </si>
  <si>
    <t>8 M/C / Helper</t>
  </si>
  <si>
    <t>Unskilled</t>
  </si>
  <si>
    <t>Top Roller Cleaning</t>
  </si>
  <si>
    <t>12 M/C / Helper</t>
  </si>
  <si>
    <t>Gaiter</t>
  </si>
  <si>
    <t>6 M/C / Helper</t>
  </si>
  <si>
    <t>Ring Traveller &amp; Drafting Zone Cleaning</t>
  </si>
  <si>
    <t>24 M/C / Helper</t>
  </si>
  <si>
    <t>Semi-Skilled</t>
  </si>
  <si>
    <t>Jockey Pulley &amp; Brake Cleaning</t>
  </si>
  <si>
    <t>36 M/C / Helper</t>
  </si>
  <si>
    <t>Bts Operator</t>
  </si>
  <si>
    <t>24 M/C Operator</t>
  </si>
  <si>
    <t>24 M/C / Reliever</t>
  </si>
  <si>
    <t>24 M/C / Jobber</t>
  </si>
  <si>
    <t>Spinning-2</t>
  </si>
  <si>
    <t>Ringframe-B</t>
  </si>
  <si>
    <t>39 M/C (1200 Spindle /M/C) 46800</t>
  </si>
  <si>
    <t>13 M/C / Gaiter</t>
  </si>
  <si>
    <t>Roller Cleaner</t>
  </si>
  <si>
    <t>59 M/C/ Helper</t>
  </si>
  <si>
    <t>UnSkilled</t>
  </si>
  <si>
    <t>20 M/C/ Creeler</t>
  </si>
  <si>
    <t>Tube Feeder &amp; Transporter</t>
  </si>
  <si>
    <t>13 M/C / Helper</t>
  </si>
  <si>
    <t>Primo Cleaning</t>
  </si>
  <si>
    <t>20 M/C/ Helper</t>
  </si>
  <si>
    <t>Drum Cleaning</t>
  </si>
  <si>
    <t>39 M/C/ Helper</t>
  </si>
  <si>
    <t>Drafting &amp; Ring Traveller</t>
  </si>
  <si>
    <t>30 M/C/ Helper</t>
  </si>
  <si>
    <t>40 M/C/Operator</t>
  </si>
  <si>
    <t>40 M/C/  Reliever</t>
  </si>
  <si>
    <t>40 M/C/Jobber</t>
  </si>
  <si>
    <t>Autoconer</t>
  </si>
  <si>
    <t>11 M/C (650 Drum)</t>
  </si>
  <si>
    <t>59 Drum/Operator</t>
  </si>
  <si>
    <t>Empty Cone Transition</t>
  </si>
  <si>
    <t>780 Drum/Helper</t>
  </si>
  <si>
    <t>Autoconer Cleaning,Hard Waste Collection</t>
  </si>
  <si>
    <t>650 Drum/Helper</t>
  </si>
  <si>
    <t>651 Drum/Reliever</t>
  </si>
  <si>
    <t>13 M/C (780 Drum)</t>
  </si>
  <si>
    <t>78 Drums/ Operator</t>
  </si>
  <si>
    <t>780 Drums / Helper</t>
  </si>
  <si>
    <t>1560 / Helper</t>
  </si>
  <si>
    <t>Autoconer (A+B)</t>
  </si>
  <si>
    <t>477 Drums / Jobber</t>
  </si>
  <si>
    <t>Spinning 1 &amp; 2</t>
  </si>
  <si>
    <t>Contractor</t>
  </si>
  <si>
    <t>Auto Bale Press</t>
  </si>
  <si>
    <t>Layering (Laydown)</t>
  </si>
  <si>
    <t>Bale Sorter</t>
  </si>
  <si>
    <t>SPfu &amp; Metal Detector Sorting</t>
  </si>
  <si>
    <t>Pva Bale OPening</t>
  </si>
  <si>
    <t>Materil Movement from Spng 1 to autopacking And Autopacking to warehouse</t>
  </si>
  <si>
    <t>Auto Coner Manual Packing</t>
  </si>
  <si>
    <t>Roving Unwinder</t>
  </si>
  <si>
    <t>Roving opener auto</t>
  </si>
  <si>
    <t>Manual Bale Press</t>
  </si>
  <si>
    <t>Open End</t>
  </si>
  <si>
    <t>Open End (Line 1 &amp; 2 Preparatory )</t>
  </si>
  <si>
    <t>Blendomate</t>
  </si>
  <si>
    <t>2 M/C</t>
  </si>
  <si>
    <t>0.6 M/C / Operator</t>
  </si>
  <si>
    <t>ROUNDUP(2/0.6,0)*3</t>
  </si>
  <si>
    <t>Carding</t>
  </si>
  <si>
    <t>13 M/C</t>
  </si>
  <si>
    <t>20 M/C / Opertor</t>
  </si>
  <si>
    <t>Breaker</t>
  </si>
  <si>
    <t>6 M/C</t>
  </si>
  <si>
    <t>6 M/C/ Operator</t>
  </si>
  <si>
    <t>ROUNDUP(6/6,0)*3</t>
  </si>
  <si>
    <t>7 M/C</t>
  </si>
  <si>
    <t>4 M/C /Operator</t>
  </si>
  <si>
    <t>ROUNDUP(7/4,0)*3</t>
  </si>
  <si>
    <t>Open End (Line -3 Preparatory )</t>
  </si>
  <si>
    <t>MBO &amp; Carding</t>
  </si>
  <si>
    <t>Breaker &amp; Finisher</t>
  </si>
  <si>
    <t>5 Delevery / Operator</t>
  </si>
  <si>
    <t>Rotor</t>
  </si>
  <si>
    <t>6 M/C ( 5 M/C 480 Rotor, 1 M/C 552 Rotor ) 2952 Rotor</t>
  </si>
  <si>
    <t>1476 Rotor Drum/Operator</t>
  </si>
  <si>
    <t>1476 Rotor Drum/Creeler</t>
  </si>
  <si>
    <t>Spinning 3 - Preparatory</t>
  </si>
  <si>
    <t>Forklift Operator</t>
  </si>
  <si>
    <t>Highly Skilled</t>
  </si>
  <si>
    <t>8 Lines</t>
  </si>
  <si>
    <t>0.5 Opertor / Line</t>
  </si>
  <si>
    <t>28 Carding / Operator</t>
  </si>
  <si>
    <t>ROUNDUP(56/28,0)*3</t>
  </si>
  <si>
    <t>'Br. Draw Frame &amp; Unilap Lap former</t>
  </si>
  <si>
    <t>3.5 Machine / Operator</t>
  </si>
  <si>
    <t>ROUNDUP(17/3.5,0)*3</t>
  </si>
  <si>
    <t>Comber</t>
  </si>
  <si>
    <t>6 Machine / Opertor</t>
  </si>
  <si>
    <t>ratio-derived 12 vs source 9</t>
  </si>
  <si>
    <t>Fr. Draw Frame</t>
  </si>
  <si>
    <t>Speed Frame</t>
  </si>
  <si>
    <t>ratio-derived 12 vs source 15</t>
  </si>
  <si>
    <t>Spinning 3 - Ring Frame</t>
  </si>
  <si>
    <t>Ring Frame</t>
  </si>
  <si>
    <t>2 Machine / Operator</t>
  </si>
  <si>
    <t>ROUNDUP(104/2,0)*3</t>
  </si>
  <si>
    <t>52 Machine / Jobber</t>
  </si>
  <si>
    <t>21 Machine / Creeler</t>
  </si>
  <si>
    <t>Gaiting</t>
  </si>
  <si>
    <t>26 Machine / Gaiter</t>
  </si>
  <si>
    <t>BTS System</t>
  </si>
  <si>
    <t>104 Machine / Operator</t>
  </si>
  <si>
    <t>Ring Traveller</t>
  </si>
  <si>
    <t>26 Machine / Helper</t>
  </si>
  <si>
    <t>Un-Skilled</t>
  </si>
  <si>
    <t>26 Machine / Reliever</t>
  </si>
  <si>
    <t>Machine Cleaning</t>
  </si>
  <si>
    <t>35 Machine / Helper</t>
  </si>
  <si>
    <t>Spinning - 3 Auto-Corner</t>
  </si>
  <si>
    <t>Auto-Corner</t>
  </si>
  <si>
    <t>231 Drum / Operator</t>
  </si>
  <si>
    <t>2772 Drum / Jobber</t>
  </si>
  <si>
    <t>Transfer Empty Cones to Link coner machine</t>
  </si>
  <si>
    <t>2772 Drum / Helper</t>
  </si>
  <si>
    <t>Sticker Removing and cleaning of plastic cone</t>
  </si>
  <si>
    <t>1386 Drum / Helper</t>
  </si>
  <si>
    <t>Spinning -3 Contractor</t>
  </si>
  <si>
    <t>Bale Staging , Unloading ( Wherever applicable ),</t>
  </si>
  <si>
    <t>Bale Pressing</t>
  </si>
  <si>
    <t>Man Power for Synthetic Bale Opening/ Mixing Laying  &amp; Contamination sorting activities in WLL premises.</t>
  </si>
  <si>
    <t>Online Contamination</t>
  </si>
  <si>
    <t>Shifting Packing Material ( From BS WVg &amp; GTL) &amp; Shifting Manual Pallets</t>
  </si>
  <si>
    <t>Terry Towel</t>
  </si>
  <si>
    <t>Terry Towel - Weaving Preparatory</t>
  </si>
  <si>
    <t>Direct Warping</t>
  </si>
  <si>
    <t>Warper</t>
  </si>
  <si>
    <t>1 Machine / Warper</t>
  </si>
  <si>
    <t>ROUNDUP(10/1,0)*3</t>
  </si>
  <si>
    <t>Creel Boy</t>
  </si>
  <si>
    <t>1.25 Machine / Creel Boy</t>
  </si>
  <si>
    <t>Section Warping</t>
  </si>
  <si>
    <t>ROUNDUP(2/1,0)*3</t>
  </si>
  <si>
    <t>2 Machine / Creel Boy</t>
  </si>
  <si>
    <t>Sizing</t>
  </si>
  <si>
    <t>Sizer</t>
  </si>
  <si>
    <t>1 Machine / Operator</t>
  </si>
  <si>
    <t>Back Sizer</t>
  </si>
  <si>
    <t>1 Machine / Back Sizer</t>
  </si>
  <si>
    <t>Mixing Man</t>
  </si>
  <si>
    <t>2 Operator / Shift</t>
  </si>
  <si>
    <t>2*3</t>
  </si>
  <si>
    <t>Sizing Utility</t>
  </si>
  <si>
    <t>1 Operator / Beam Storage</t>
  </si>
  <si>
    <t>ROUNDUP(6/1,0)*3</t>
  </si>
  <si>
    <t>Winding (30 Drum)</t>
  </si>
  <si>
    <t>Winding Opt</t>
  </si>
  <si>
    <t>3 Drum / Operator</t>
  </si>
  <si>
    <t>ratio-derived 3 vs source 27</t>
  </si>
  <si>
    <t>Beam Loader</t>
  </si>
  <si>
    <t>02 Operator / Shift</t>
  </si>
  <si>
    <t>Beam Carrier</t>
  </si>
  <si>
    <t>Yarn Carrier</t>
  </si>
  <si>
    <t>01 Helper / Shift</t>
  </si>
  <si>
    <t>1*3</t>
  </si>
  <si>
    <t>Preventive Fitter</t>
  </si>
  <si>
    <t>Fitter in General Shift</t>
  </si>
  <si>
    <t>12*1</t>
  </si>
  <si>
    <t>general only | general only</t>
  </si>
  <si>
    <t>Shift Fitter</t>
  </si>
  <si>
    <t>02 Fitter / Shift</t>
  </si>
  <si>
    <t>MIS Coordinator</t>
  </si>
  <si>
    <t>1 Operator in General Shift</t>
  </si>
  <si>
    <t>1*1</t>
  </si>
  <si>
    <t>DEO</t>
  </si>
  <si>
    <t>1 Deo / Shift</t>
  </si>
  <si>
    <t>Hard waste collection</t>
  </si>
  <si>
    <t>Scarp Yard</t>
  </si>
  <si>
    <t>Loom Shed</t>
  </si>
  <si>
    <t>Dobby</t>
  </si>
  <si>
    <t>Weaver</t>
  </si>
  <si>
    <t>6 Looms / Operator</t>
  </si>
  <si>
    <t>ROUNDUP(410/6,0)*3</t>
  </si>
  <si>
    <t>ratio-derived 207 vs source 198</t>
  </si>
  <si>
    <t>Weaver - Lunch Reliver</t>
  </si>
  <si>
    <t>5 Weavers / Reliever</t>
  </si>
  <si>
    <t>Knotter</t>
  </si>
  <si>
    <t>180 Knotting/Day</t>
  </si>
  <si>
    <t>180*1</t>
  </si>
  <si>
    <t>day based</t>
  </si>
  <si>
    <t>87 Machine / Operator</t>
  </si>
  <si>
    <t>Weft Boy</t>
  </si>
  <si>
    <t>102 Machine / Operator</t>
  </si>
  <si>
    <t>Roll Doffer</t>
  </si>
  <si>
    <t>Quality Checker</t>
  </si>
  <si>
    <t>3 Operator / Shift + 1 General</t>
  </si>
  <si>
    <t>(3*3)+1</t>
  </si>
  <si>
    <t>Pile Ratio Checker</t>
  </si>
  <si>
    <t>4 / 2 Shift  + 3</t>
  </si>
  <si>
    <t>5.5*2</t>
  </si>
  <si>
    <t>workload-text mismatch: 4.0/shift vs total 11.0 | workload-text mismatch: 4.0/shift vs total 11.0</t>
  </si>
  <si>
    <t>Data Opt</t>
  </si>
  <si>
    <t>01 Operator / Shift</t>
  </si>
  <si>
    <t>Line Fitter</t>
  </si>
  <si>
    <t>37 Machine / Operator</t>
  </si>
  <si>
    <t>Preventive Maintenance</t>
  </si>
  <si>
    <t>22*1</t>
  </si>
  <si>
    <t>Daily lubrication</t>
  </si>
  <si>
    <t>1 Fitter in General Shift</t>
  </si>
  <si>
    <t>Knotting m/c &amp; knotting frames</t>
  </si>
  <si>
    <t>Sort change &amp; breakdown</t>
  </si>
  <si>
    <t>03 Operator / Shift</t>
  </si>
  <si>
    <t>3*3</t>
  </si>
  <si>
    <t>Daily checking/selvedge</t>
  </si>
  <si>
    <t>2  in General Shift</t>
  </si>
  <si>
    <t>2*1</t>
  </si>
  <si>
    <t>Drawer</t>
  </si>
  <si>
    <t>61 Machine / Operator</t>
  </si>
  <si>
    <t>Mender</t>
  </si>
  <si>
    <t>123 Machines/Mender</t>
  </si>
  <si>
    <t>Terry Towel - Bleaching</t>
  </si>
  <si>
    <t>Ropewash 1 &amp;
 Ropewash 2</t>
  </si>
  <si>
    <t>Machine Operator</t>
  </si>
  <si>
    <t>3 Operator / Shift</t>
  </si>
  <si>
    <t>Asst Operator</t>
  </si>
  <si>
    <t>Ropewash 4 &amp;
 Ropewash 5</t>
  </si>
  <si>
    <t>PTR 1 ,2</t>
  </si>
  <si>
    <t>6*3</t>
  </si>
  <si>
    <t>workload-text mismatch: 3.0/shift vs total 18.0 | workload-text mismatch: 3.0/shift vs total 18.0</t>
  </si>
  <si>
    <t>Helper</t>
  </si>
  <si>
    <t>3 Helper / Shift</t>
  </si>
  <si>
    <t>1 Jobber / Shift</t>
  </si>
  <si>
    <t>Terry Towel - Dyeing</t>
  </si>
  <si>
    <t>CDR 1
 &amp; 
CDR 2</t>
  </si>
  <si>
    <t>4 Operator / Shift</t>
  </si>
  <si>
    <t>4*3</t>
  </si>
  <si>
    <t>workload-text mismatch: 3.0/shift vs total 12.0 | workload-text mismatch: 3.0/shift vs total 12.0</t>
  </si>
  <si>
    <t>CPB</t>
  </si>
  <si>
    <t>1 Operator / Shift</t>
  </si>
  <si>
    <t>1 Helper / Shift</t>
  </si>
  <si>
    <t>Erbatech Washer</t>
  </si>
  <si>
    <t>VDR</t>
  </si>
  <si>
    <t>1*2</t>
  </si>
  <si>
    <t>Downgrade Checking</t>
  </si>
  <si>
    <t>1 in General Shift</t>
  </si>
  <si>
    <t>Color Kitchen</t>
  </si>
  <si>
    <t>1.33*3</t>
  </si>
  <si>
    <t>workload-text mismatch: 1.0/shift vs total 4.0 | workload-text mismatch: 1.0/shift vs total 4.0</t>
  </si>
  <si>
    <t>Dyeing Lab</t>
  </si>
  <si>
    <t>Terry Towel - Finishing</t>
  </si>
  <si>
    <t>Finishing 1 , 2 &amp; 3</t>
  </si>
  <si>
    <t>6 Operator / Shift</t>
  </si>
  <si>
    <t>workload-text mismatch: 1.0/shift vs total 9.0 | workload-text mismatch: 1.0/shift vs total 9.0</t>
  </si>
  <si>
    <t>Finishing 4</t>
  </si>
  <si>
    <t>Finishing 5 &amp; 6</t>
  </si>
  <si>
    <t>Shearing Machine</t>
  </si>
  <si>
    <t>Fitter</t>
  </si>
  <si>
    <t>Terry Towel - Printing</t>
  </si>
  <si>
    <t>Digital Printing</t>
  </si>
  <si>
    <t>3 + 2 / Shift</t>
  </si>
  <si>
    <t>1.67*3</t>
  </si>
  <si>
    <t>workload-text mismatch: 2.0/shift vs total 5.0 | workload-text mismatch: 2.0/shift vs total 5.0</t>
  </si>
  <si>
    <t>Shering M/C Printing</t>
  </si>
  <si>
    <t>2 Operator/Shift</t>
  </si>
  <si>
    <t>Stenter for Printing</t>
  </si>
  <si>
    <t>Checker</t>
  </si>
  <si>
    <t>1 Checker / Shift</t>
  </si>
  <si>
    <t>Loop Ager</t>
  </si>
  <si>
    <t>Chemical Preparation</t>
  </si>
  <si>
    <t>2 in General Shift</t>
  </si>
  <si>
    <t>Terry Towel - Greige Folding</t>
  </si>
  <si>
    <t>Side Loader</t>
  </si>
  <si>
    <t>Batching Machine</t>
  </si>
  <si>
    <t>6 Helper / Shift</t>
  </si>
  <si>
    <t>Batch Lifter</t>
  </si>
  <si>
    <t>Outsource - Vapi</t>
  </si>
  <si>
    <t>Supervisor</t>
  </si>
  <si>
    <t>1 MP/Shift  &amp; 2 Shifts</t>
  </si>
  <si>
    <t>Loader</t>
  </si>
  <si>
    <t>6 Helper /Shift &amp; 2 Shifts</t>
  </si>
  <si>
    <t>6*2</t>
  </si>
  <si>
    <t>Weaving Receiving - Jobber</t>
  </si>
  <si>
    <t>FORKLIFT</t>
  </si>
  <si>
    <t>SCRAP</t>
  </si>
  <si>
    <t>2/ Shift in 2 Shifts</t>
  </si>
  <si>
    <t>2*2</t>
  </si>
  <si>
    <t>Terry Towel - Cut &amp; Sew</t>
  </si>
  <si>
    <t>Length Cutting</t>
  </si>
  <si>
    <t>5 Helper/Shift</t>
  </si>
  <si>
    <t>4.67*3</t>
  </si>
  <si>
    <t>8*3</t>
  </si>
  <si>
    <t>5*3</t>
  </si>
  <si>
    <t>2 Helper/Shift</t>
  </si>
  <si>
    <t>2.33*3</t>
  </si>
  <si>
    <t>workload-text mismatch: 2.0/shift vs total 7.0 | workload-text mismatch: 2.0/shift vs total 7.0</t>
  </si>
  <si>
    <t>Cross Hemming</t>
  </si>
  <si>
    <t>Cross Hemming Semi-Automatic</t>
  </si>
  <si>
    <t>10*3</t>
  </si>
  <si>
    <t>JUKI Alteration - Automatic Section</t>
  </si>
  <si>
    <t>5.33*3</t>
  </si>
  <si>
    <t>workload-text mismatch: 5.0/shift vs total 16.0 | workload-text mismatch: 5.0/shift vs total 16.0</t>
  </si>
  <si>
    <t>3.5*2</t>
  </si>
  <si>
    <t>workload-text mismatch: 3.0/shift vs total 7.0 | workload-text mismatch: 3.0/shift vs total 7.0</t>
  </si>
  <si>
    <t>Manual JUKI Section</t>
  </si>
  <si>
    <t>3*2</t>
  </si>
  <si>
    <t>Maintenance</t>
  </si>
  <si>
    <t>default 3-shift split</t>
  </si>
  <si>
    <t>Packing</t>
  </si>
  <si>
    <t>1 Operator/Shift</t>
  </si>
  <si>
    <t>2 MP/Shift</t>
  </si>
  <si>
    <t>3 MP/Shift</t>
  </si>
  <si>
    <t>4*1</t>
  </si>
  <si>
    <t>TQM</t>
  </si>
  <si>
    <t>10*1</t>
  </si>
  <si>
    <t>1 Helper/Shift</t>
  </si>
  <si>
    <t>5 Operator/Shift</t>
  </si>
  <si>
    <t>6 Helper/Shift</t>
  </si>
  <si>
    <t>4 Helper/Shift</t>
  </si>
  <si>
    <t>Sheeting</t>
  </si>
  <si>
    <t>Sheeting - Loom Shed</t>
  </si>
  <si>
    <t>Dobby - Jacquard</t>
  </si>
  <si>
    <t>In General Shift</t>
  </si>
  <si>
    <t>5 MP/shift</t>
  </si>
  <si>
    <t>Maintainance</t>
  </si>
  <si>
    <t>16 Fitter/Machine</t>
  </si>
  <si>
    <t>Sheeting - Bleaching</t>
  </si>
  <si>
    <t>Singeing 1 ,2 &amp;3</t>
  </si>
  <si>
    <t>3 Operator/Shift</t>
  </si>
  <si>
    <t>3 Helper/Shift</t>
  </si>
  <si>
    <t>D. Washer</t>
  </si>
  <si>
    <t>PTR 1,2&amp;3</t>
  </si>
  <si>
    <t>Mercerise 1  2,3</t>
  </si>
  <si>
    <t>CRP</t>
  </si>
  <si>
    <t>Jigger</t>
  </si>
  <si>
    <t>Forman</t>
  </si>
  <si>
    <t>Chemical Prepration &amp; Filling</t>
  </si>
  <si>
    <t>2 MP / Shift</t>
  </si>
  <si>
    <t>Additional Washer</t>
  </si>
  <si>
    <t>WASHING ACTIVITY</t>
  </si>
  <si>
    <t>4 MP/Shift</t>
  </si>
  <si>
    <t>workload-text mismatch: 4.0/shift vs total 14.0 | workload-text mismatch: 4.0/shift vs total 14.0</t>
  </si>
  <si>
    <t>Stitching</t>
  </si>
  <si>
    <t>Stitcher Machine Maintenance</t>
  </si>
  <si>
    <t>1 Fitter/Shift</t>
  </si>
  <si>
    <t>Sheeting - Dyeing</t>
  </si>
  <si>
    <t>Pad Dry</t>
  </si>
  <si>
    <t>Pad Steam</t>
  </si>
  <si>
    <t>4 Operator/Shift</t>
  </si>
  <si>
    <t>2 Operator/Shift &amp; 2 Shift</t>
  </si>
  <si>
    <t>1 Operator/Shift in 2 Shifts</t>
  </si>
  <si>
    <t>1 Helper/Shift in 2 Shifts</t>
  </si>
  <si>
    <t>Washer</t>
  </si>
  <si>
    <t>Inspection</t>
  </si>
  <si>
    <t>Inspector</t>
  </si>
  <si>
    <t>2/Shift in 2 Shifts</t>
  </si>
  <si>
    <t>Color Prepration &amp; Filling</t>
  </si>
  <si>
    <t>Loading</t>
  </si>
  <si>
    <t>Salt &amp; Soda Loading</t>
  </si>
  <si>
    <t>3 MP/Shift in 2 Shifts</t>
  </si>
  <si>
    <t>DLC</t>
  </si>
  <si>
    <t>Dye liqour Checking &amp; Inspection</t>
  </si>
  <si>
    <t>1 MP/Shift</t>
  </si>
  <si>
    <t>Garment Washing</t>
  </si>
  <si>
    <t>Jet Dying</t>
  </si>
  <si>
    <t>RFT</t>
  </si>
  <si>
    <t>Sheeting - Finishing</t>
  </si>
  <si>
    <t>Stenter</t>
  </si>
  <si>
    <t>Sanfo</t>
  </si>
  <si>
    <t>Calendring</t>
  </si>
  <si>
    <t>Curing</t>
  </si>
  <si>
    <t>Peaching</t>
  </si>
  <si>
    <t>MXL Chamber</t>
  </si>
  <si>
    <t>Transportation</t>
  </si>
  <si>
    <t>FFI Delivey from Finishing</t>
  </si>
  <si>
    <t>Reprocess Fabric Inspection</t>
  </si>
  <si>
    <t>2 MP/Shift in 2 Shifts</t>
  </si>
  <si>
    <t>Sheeting - Printing</t>
  </si>
  <si>
    <t>Engraving</t>
  </si>
  <si>
    <t>MP/Day</t>
  </si>
  <si>
    <t>Rotary Printing</t>
  </si>
  <si>
    <t>10 MP/Shift</t>
  </si>
  <si>
    <t>Strike Off</t>
  </si>
  <si>
    <t>4 MP/Shift + 2 in Night Shift</t>
  </si>
  <si>
    <t>workload-text mismatch: 4.0/shift vs total 10.0 | workload-text mismatch: 4.0/shift vs total 10.0</t>
  </si>
  <si>
    <t>Sample</t>
  </si>
  <si>
    <t>Lab</t>
  </si>
  <si>
    <t>Sample Testing &amp; Lab Dip Prepration</t>
  </si>
  <si>
    <t>Sheeting Cut and Sew</t>
  </si>
  <si>
    <t>Cutting</t>
  </si>
  <si>
    <t>Cutter</t>
  </si>
  <si>
    <t>1 cutter /Machine</t>
  </si>
  <si>
    <t>ROUNDUP(5/1,0)*3</t>
  </si>
  <si>
    <t>0.8 Operator/ Machine</t>
  </si>
  <si>
    <t>Marker</t>
  </si>
  <si>
    <t>0.8Marker / Machine</t>
  </si>
  <si>
    <t>1.73Helper/ Machine</t>
  </si>
  <si>
    <t>Un skilled</t>
  </si>
  <si>
    <t>Layering Man</t>
  </si>
  <si>
    <t>1.2Layering Man/ Machine</t>
  </si>
  <si>
    <t>Semi Skilled</t>
  </si>
  <si>
    <t>Others</t>
  </si>
  <si>
    <t>0.8Others/ Machine</t>
  </si>
  <si>
    <t>0.2DEO/ Machine</t>
  </si>
  <si>
    <t>INA+ETON</t>
  </si>
  <si>
    <t>Tailor's</t>
  </si>
  <si>
    <t>1 Tailor's/ Machine</t>
  </si>
  <si>
    <t>ROUNDUP(25/1,0)*3</t>
  </si>
  <si>
    <t>Checker's</t>
  </si>
  <si>
    <t>2  Checker's/ Line</t>
  </si>
  <si>
    <t>Loaders</t>
  </si>
  <si>
    <t>1 Loaders/ Line</t>
  </si>
  <si>
    <t>Packer/Helper's</t>
  </si>
  <si>
    <t>10 Packer/Helper's/  Line</t>
  </si>
  <si>
    <t>Jobber's</t>
  </si>
  <si>
    <t>1 Jobber's/ Line</t>
  </si>
  <si>
    <t>Semi Texpa</t>
  </si>
  <si>
    <t>1 Operator/machine</t>
  </si>
  <si>
    <t>ROUNDUP(1/1,0)*3</t>
  </si>
  <si>
    <t>1 Helper/machine</t>
  </si>
  <si>
    <t>Tailors (Pillow Sewing Line-Contract)</t>
  </si>
  <si>
    <t>Packer (Contract)</t>
  </si>
  <si>
    <t>Team Leader</t>
  </si>
  <si>
    <t>Manual Lines(G+1 Contract line)</t>
  </si>
  <si>
    <t>1 Tailor/Machine</t>
  </si>
  <si>
    <t>ROUNDUP(16/1,0)*3</t>
  </si>
  <si>
    <t>Packer/Helpers</t>
  </si>
  <si>
    <t>10 Packers /Helpers /Line</t>
  </si>
  <si>
    <t>DEO / Supervisor / Order Trackers / B-Grade / Stain Mending</t>
  </si>
  <si>
    <t>Automatic Texpa</t>
  </si>
  <si>
    <t>Texpa Operator</t>
  </si>
  <si>
    <t>1 opeator/Machine</t>
  </si>
  <si>
    <t>ratio-derived 15 vs source 6</t>
  </si>
  <si>
    <t>2 Helper /Machine</t>
  </si>
  <si>
    <t>Tailor</t>
  </si>
  <si>
    <t>1/ Tailor/machine</t>
  </si>
  <si>
    <t>ROUNDUP(34/1,0)*3</t>
  </si>
  <si>
    <t>ratio-derived 102 vs source 137</t>
  </si>
  <si>
    <t>Helper (Marking, Loading, Unloading)</t>
  </si>
  <si>
    <t>10/ Helpers/Loading/Unloding /Line</t>
  </si>
  <si>
    <t>Packer</t>
  </si>
  <si>
    <t>12/Packer /Table</t>
  </si>
  <si>
    <t>ROUNDUP(8/12,0)*3</t>
  </si>
  <si>
    <t>Stacker</t>
  </si>
  <si>
    <t>2 Stacker / Machine</t>
  </si>
  <si>
    <t>Order Tracker/Programmer</t>
  </si>
  <si>
    <t>2 Order Tracker / Shift</t>
  </si>
  <si>
    <t>1 Deo /Shift</t>
  </si>
  <si>
    <t>Stain Remover/Mending</t>
  </si>
  <si>
    <t>1 Stain Remover / Shift</t>
  </si>
  <si>
    <t>FRC/NON FRC</t>
  </si>
  <si>
    <t>1.45 FRC  Persons /Shift</t>
  </si>
  <si>
    <t>workload-text mismatch: 1.45/shift vs total 5.0 | workload-text mismatch: 1.45/shift vs total 5.0</t>
  </si>
  <si>
    <t>Pressman</t>
  </si>
  <si>
    <t>2 Pressman/Shift</t>
  </si>
  <si>
    <t>Fashion Bedding</t>
  </si>
  <si>
    <t>Packer's + Helpers</t>
  </si>
  <si>
    <t>16 Helper's nd Packers /Line</t>
  </si>
  <si>
    <t>ABM Operator+Rich Piece</t>
  </si>
  <si>
    <t>1 operator per Machine</t>
  </si>
  <si>
    <t>ABM Helper's</t>
  </si>
  <si>
    <t>3 Helper/ Machine</t>
  </si>
  <si>
    <t>Embroidery  MC Operator</t>
  </si>
  <si>
    <t>1 Operator/Machine</t>
  </si>
  <si>
    <t>Embroidery  MC helper's+ Other's</t>
  </si>
  <si>
    <t>2 Helpers/Machine</t>
  </si>
  <si>
    <t>FB Ctn Packing (Packer)</t>
  </si>
  <si>
    <t>6 Packers /Tables</t>
  </si>
  <si>
    <t>FB Ctn Packing (Helpers+Other's)</t>
  </si>
  <si>
    <t>5 Helpers / Shift</t>
  </si>
  <si>
    <t>6.67*3</t>
  </si>
  <si>
    <t>workload-text mismatch: 5.0/shift vs total 20.0 | workload-text mismatch: 5.0/shift vs total 20.0</t>
  </si>
  <si>
    <t>Helper's+ Other's+Cutting</t>
  </si>
  <si>
    <t>31 other's /Shift</t>
  </si>
  <si>
    <t>31.33*3</t>
  </si>
  <si>
    <t>workload-text mismatch: 31.0/shift vs total 94.0 | workload-text mismatch: 31.0/shift vs total 94.0</t>
  </si>
  <si>
    <t>Ancillary</t>
  </si>
  <si>
    <t>1 Tailor /Machine</t>
  </si>
  <si>
    <t>ROUNDUP(3/1,0)*3</t>
  </si>
  <si>
    <t>10 Packers / line</t>
  </si>
  <si>
    <t>Others'</t>
  </si>
  <si>
    <t>9 Other's Line</t>
  </si>
  <si>
    <t>Carton Packing</t>
  </si>
  <si>
    <t>Carton Packer</t>
  </si>
  <si>
    <t>27 /Packers/Shift</t>
  </si>
  <si>
    <t>27*3</t>
  </si>
  <si>
    <t>5 team Leaders /Shift</t>
  </si>
  <si>
    <t>Helper (Metal Point/Scanning)</t>
  </si>
  <si>
    <t>7 Helpers/Shift</t>
  </si>
  <si>
    <t>7*3</t>
  </si>
  <si>
    <t>2 Deo /Shift</t>
  </si>
  <si>
    <t>Bags &amp; Pillow Line</t>
  </si>
  <si>
    <t>1 tailor/Machine</t>
  </si>
  <si>
    <t>Helpers</t>
  </si>
  <si>
    <t>.35 Helprs/Machine</t>
  </si>
  <si>
    <t>PD (Sampling)</t>
  </si>
  <si>
    <t>10/ Tailors/Shift</t>
  </si>
  <si>
    <t>10.5*2</t>
  </si>
  <si>
    <t>workload-text mismatch: 10.0/shift vs total 21.0 | workload-text mismatch: 10.0/shift vs total 21.0</t>
  </si>
  <si>
    <t>3 Helprs/Shift</t>
  </si>
  <si>
    <t>Un Skilled</t>
  </si>
  <si>
    <t>1 Jobber/Shift</t>
  </si>
  <si>
    <t>Trims &amp; Kitting</t>
  </si>
  <si>
    <t>Kitting</t>
  </si>
  <si>
    <t>1 Kitting person /Shift</t>
  </si>
  <si>
    <t>Order Tracker</t>
  </si>
  <si>
    <t>4 persons / Shift</t>
  </si>
  <si>
    <t>4*2</t>
  </si>
  <si>
    <t>TQM Total</t>
  </si>
  <si>
    <t>Checkers/ RQC/Others</t>
  </si>
  <si>
    <t>112 persons / Shift</t>
  </si>
  <si>
    <t>112.67*3</t>
  </si>
  <si>
    <t>workload-text mismatch: 112.0/shift vs total 338.0 | workload-text mismatch: 112.0/shift vs total 338.0</t>
  </si>
  <si>
    <t>Stain / Mending / Rej/FSA-FRI</t>
  </si>
  <si>
    <t>Stain Remover</t>
  </si>
  <si>
    <t>6 Persons /Shift</t>
  </si>
  <si>
    <t>Packers Down Grade</t>
  </si>
  <si>
    <t>4.33*3</t>
  </si>
  <si>
    <t>workload-text mismatch: 4.0/shift vs total 13.0 | workload-text mismatch: 4.0/shift vs total 13.0</t>
  </si>
  <si>
    <t>1 Persons /Shift</t>
  </si>
  <si>
    <t>Packers FSA (Job Work+ Internal)</t>
  </si>
  <si>
    <t>11 Persons /Shift</t>
  </si>
  <si>
    <t>11*3</t>
  </si>
  <si>
    <t>1 DEO / Shift</t>
  </si>
  <si>
    <t>2 Operator</t>
  </si>
  <si>
    <t>0*3</t>
  </si>
  <si>
    <t>ROUND(15/4,0)*3</t>
  </si>
  <si>
    <t>ROUNDUP(24/6,0)*3</t>
  </si>
  <si>
    <t>(ROUNDUP(24/2.5,0)*3)+6</t>
  </si>
  <si>
    <t>ROUNDUP(24/8,0)*3</t>
  </si>
  <si>
    <t>ROUNDUP(24/12,0)*3</t>
  </si>
  <si>
    <t>ROUNDUP(24/24,0)*3</t>
  </si>
  <si>
    <t>ROUNDUP(24/36,0)*3</t>
  </si>
  <si>
    <t>ROUND(650/59,0)*3</t>
  </si>
  <si>
    <t>ROUND(650/780,0)*3</t>
  </si>
  <si>
    <t>ROUND(650/650,0)*3</t>
  </si>
  <si>
    <t>2 Releiver / Shift</t>
  </si>
  <si>
    <t>(ROUNDUP(39/2.5,0)*3)+6</t>
  </si>
  <si>
    <t>(ROUNDUP(39/13,0)*3)</t>
  </si>
  <si>
    <t>(ROUNDUP(39/59,0)*3)</t>
  </si>
  <si>
    <t>ROUNDUP(780/78,0)*3</t>
  </si>
  <si>
    <t>(ROUNDUP(39/20,0)*3)</t>
  </si>
  <si>
    <t>(ROUNDUP(39/39,0)*3)</t>
  </si>
  <si>
    <t>(ROUNDUP(39/30,0)*3)</t>
  </si>
  <si>
    <t>(ROUNDUP(39/40,0)*3)</t>
  </si>
  <si>
    <t>ROUNDUP(780/780,0)*3</t>
  </si>
  <si>
    <t>ROUNDUP(780/1560,0)*3</t>
  </si>
  <si>
    <t>ROUNDDOWN(780/477,0)*3</t>
  </si>
  <si>
    <t>1*4</t>
  </si>
  <si>
    <t xml:space="preserve">Spinning Maintenance </t>
  </si>
  <si>
    <t>Spinning Quality Control-TQM</t>
  </si>
  <si>
    <t xml:space="preserve">AutoPacking </t>
  </si>
  <si>
    <t>Open End Maintenance</t>
  </si>
  <si>
    <t xml:space="preserve">Open End Tqm </t>
  </si>
  <si>
    <t>ROUNDUP(13/20,0)*3</t>
  </si>
  <si>
    <t>ROUNDUP(2952/1476,0)*3</t>
  </si>
  <si>
    <t>Forklifte</t>
  </si>
  <si>
    <t>2 Operators</t>
  </si>
  <si>
    <t>ROUNDUP(8*0.5,0)*3</t>
  </si>
  <si>
    <t>ROUNDDOWN(20/6,0)*3</t>
  </si>
  <si>
    <t>(ROUNDUP(20/6,0)*3)+3</t>
  </si>
  <si>
    <t>1 Reliever / Shift</t>
  </si>
  <si>
    <t>104 (1632/Ring Frame) 1.70 Lac Spinndles</t>
  </si>
  <si>
    <t>ROUNDUP(104/52,0)*3</t>
  </si>
  <si>
    <t>ROUNDUP(104/21,0)*3</t>
  </si>
  <si>
    <t>ROUNDUP(104/26,0)*3</t>
  </si>
  <si>
    <t>ROUNDUP(104/104,0)*3</t>
  </si>
  <si>
    <t>ROUNDUP(104/35,0)*3</t>
  </si>
  <si>
    <t>104 - M/C 2772 Drum</t>
  </si>
  <si>
    <t>ROUNDUP(2772/231,0)*3</t>
  </si>
  <si>
    <t>ROUNDUP(2772/2772,0)*3</t>
  </si>
  <si>
    <t>ROUNDUP(2772/1386,0)*3</t>
  </si>
  <si>
    <t>Engg &amp; Utility</t>
  </si>
  <si>
    <t xml:space="preserve">Machine Count / Manpower </t>
  </si>
  <si>
    <t>Manpower_Base_Qty</t>
  </si>
  <si>
    <t xml:space="preserve">Spinning -3 Maintenance </t>
  </si>
  <si>
    <t>Spinning -3 Quality Control-TQM</t>
  </si>
  <si>
    <t>Spinning 1 &amp; 2 Maintenance</t>
  </si>
  <si>
    <t>Spinning 1 &amp; 2  Quality Control-TQM</t>
  </si>
  <si>
    <t>Quality Control-TQM</t>
  </si>
  <si>
    <t>1*46</t>
  </si>
  <si>
    <t>1*11</t>
  </si>
  <si>
    <t>ROUND(602/102,0)*3</t>
  </si>
  <si>
    <t>1*5</t>
  </si>
  <si>
    <t>Grey Inspection</t>
  </si>
  <si>
    <t xml:space="preserve">Grey Folding </t>
  </si>
  <si>
    <t>Grey - TQM</t>
  </si>
  <si>
    <t xml:space="preserve">FFI </t>
  </si>
  <si>
    <t>IMS</t>
  </si>
  <si>
    <t xml:space="preserve">PD </t>
  </si>
  <si>
    <t>Process Lab &amp; TQM</t>
  </si>
  <si>
    <t xml:space="preserve"> Ware House</t>
  </si>
  <si>
    <t>Ware House</t>
  </si>
  <si>
    <t>Plant Support</t>
  </si>
  <si>
    <t>Engineering</t>
  </si>
  <si>
    <t>Fire &amp; safety</t>
  </si>
  <si>
    <t>Admin</t>
  </si>
  <si>
    <t>Cotton Gwdn</t>
  </si>
  <si>
    <t>Stores</t>
  </si>
  <si>
    <t>Excise</t>
  </si>
  <si>
    <t>Scrap Yard</t>
  </si>
  <si>
    <t>Compliance</t>
  </si>
  <si>
    <t>HR/ER</t>
  </si>
  <si>
    <t>T&amp;D</t>
  </si>
  <si>
    <t>Account</t>
  </si>
  <si>
    <t>CSR</t>
  </si>
  <si>
    <t>Logistics +S&amp;D</t>
  </si>
  <si>
    <t xml:space="preserve">Solar </t>
  </si>
  <si>
    <t>Central Admin</t>
  </si>
  <si>
    <t>Transport</t>
  </si>
  <si>
    <t>WIL Colony</t>
  </si>
  <si>
    <t>Welspun Inn</t>
  </si>
  <si>
    <t>Welhome Colony</t>
  </si>
  <si>
    <t>Weighbridge</t>
  </si>
  <si>
    <t>Memorial Hall</t>
  </si>
  <si>
    <t>Horticulture</t>
  </si>
  <si>
    <t>WHSL Plant</t>
  </si>
  <si>
    <t>Yarn Warehouse</t>
  </si>
  <si>
    <t>Yarn Dyeing &amp; Winding</t>
  </si>
  <si>
    <t>Weaving Preparatory</t>
  </si>
  <si>
    <t>Weaving Looms</t>
  </si>
  <si>
    <t>Greige Folding</t>
  </si>
  <si>
    <t>Fabric Processing</t>
  </si>
  <si>
    <t xml:space="preserve">Cut &amp; Sew </t>
  </si>
  <si>
    <t>FG Warehouse</t>
  </si>
  <si>
    <t>Product Development</t>
  </si>
  <si>
    <t>Electrical</t>
  </si>
  <si>
    <t xml:space="preserve">Pillow &amp; Poly bedding </t>
  </si>
  <si>
    <t>Security</t>
  </si>
  <si>
    <t xml:space="preserve">Trainees </t>
  </si>
  <si>
    <t>Trainees</t>
  </si>
  <si>
    <t>TT- Weaving</t>
  </si>
  <si>
    <t>TT- Processs</t>
  </si>
  <si>
    <t>TT- Cut &amp; Sew</t>
  </si>
  <si>
    <t xml:space="preserve">TT- TQM </t>
  </si>
  <si>
    <t xml:space="preserve">Open end </t>
  </si>
  <si>
    <t xml:space="preserve">BS- Weaving </t>
  </si>
  <si>
    <t xml:space="preserve">BS- Process </t>
  </si>
  <si>
    <t>BS- Cut &amp; Sew</t>
  </si>
  <si>
    <t>BS-TQM</t>
  </si>
  <si>
    <t>New Spinning</t>
  </si>
  <si>
    <t xml:space="preserve">Engineering </t>
  </si>
  <si>
    <t>TT- WGBL</t>
  </si>
  <si>
    <t>Welspun -2</t>
  </si>
  <si>
    <t>WHSL Trainee</t>
  </si>
  <si>
    <t>ROUNDUP(10/1.25,0)*3</t>
  </si>
  <si>
    <t>ROUNDUP(2/2,0)*3</t>
  </si>
  <si>
    <t>ROUNDUP(30/3,0)*3</t>
  </si>
  <si>
    <t>Winding</t>
  </si>
  <si>
    <t>ROUNDUP(198/5,0)</t>
  </si>
  <si>
    <t>ROUNDUP(410/87,0)*3</t>
  </si>
  <si>
    <t>ROUND(410/102,0)*3</t>
  </si>
  <si>
    <t>ROUND(410/37,0)*3</t>
  </si>
  <si>
    <t>ROUND(410/61,0)*3</t>
  </si>
  <si>
    <t>ROUND(410/123,0)*3</t>
  </si>
  <si>
    <t>ratio-derived 15 vs source 25  ( 5 Houser +3Manual ) tables</t>
  </si>
  <si>
    <t>45 Other Manpower /Line</t>
  </si>
  <si>
    <t>ratio-derived 9 vs source 20 3 Sewing Lines</t>
  </si>
  <si>
    <t>ratio-derived 3 vs source 234 ( 1*3 Rp multi head+ 4*3 RP Single Needle+ 4*3 ABM Quliting Machies)</t>
  </si>
  <si>
    <t>ratio-derived 3 vs source 91 3 Manual Sewing lines Pillow  + 4 Poly Packing +1 Fitted Folding machine</t>
  </si>
  <si>
    <t>ratio-derived 48 vs source 248 16 Lines</t>
  </si>
  <si>
    <t>ratio-derived 3 vs source 4 (1 Flat +1 Pillow)</t>
  </si>
  <si>
    <t>ratio-derived 75 vs source 572 25 Sewing Lines</t>
  </si>
  <si>
    <t>Material movement from Process</t>
  </si>
  <si>
    <t>4 persons / shift</t>
  </si>
  <si>
    <t>Length Cutting Operator</t>
  </si>
  <si>
    <t>2 operators / machine / shift</t>
  </si>
  <si>
    <t>H23*2*3</t>
  </si>
  <si>
    <t>Length Hemming</t>
  </si>
  <si>
    <t>Length Hemming Operator</t>
  </si>
  <si>
    <t>Auto + Manual machines</t>
  </si>
  <si>
    <t>(H41+H60)*3</t>
  </si>
  <si>
    <t>Trolley Feeder to LH</t>
  </si>
  <si>
    <t>3 persons / shift</t>
  </si>
  <si>
    <t>Thread Collector (Kitting)</t>
  </si>
  <si>
    <t>As per plan</t>
  </si>
  <si>
    <t>0</t>
  </si>
  <si>
    <t>L,H,Jobber</t>
  </si>
  <si>
    <t>3 jobbers / shift</t>
  </si>
  <si>
    <t>FRC Collecting &amp; Segregation</t>
  </si>
  <si>
    <t>1 person / shift + 1 general</t>
  </si>
  <si>
    <t>(1*3)+1</t>
  </si>
  <si>
    <t>1 DEO / shift</t>
  </si>
  <si>
    <t>Barudan &amp; Schmale</t>
  </si>
  <si>
    <t>1 operator / machine / shift</t>
  </si>
  <si>
    <t>H72*3</t>
  </si>
  <si>
    <t>13% of Barudan &amp; Schmale</t>
  </si>
  <si>
    <t>L13*13%</t>
  </si>
  <si>
    <t>Trolley Feeder to CH</t>
  </si>
  <si>
    <t>Barudan Drop Collection</t>
  </si>
  <si>
    <t>3 persons / shift + 1 general</t>
  </si>
  <si>
    <t>CH Semi-Automatic</t>
  </si>
  <si>
    <t>H103*1*3</t>
  </si>
  <si>
    <t>1 jobber / shift</t>
  </si>
  <si>
    <t>Material movement Helper</t>
  </si>
  <si>
    <t>1 helper per 2 machines / shift</t>
  </si>
  <si>
    <t>ROUNDUP(H103/2,0)*3</t>
  </si>
  <si>
    <t>CH Alter Operator</t>
  </si>
  <si>
    <t>2 persons / shift</t>
  </si>
  <si>
    <t>Packer (11 MMR ratio)</t>
  </si>
  <si>
    <t>11 MMR ratio</t>
  </si>
  <si>
    <t>H103*11</t>
  </si>
  <si>
    <t>Carton Packer (5.1 MMR ratio)</t>
  </si>
  <si>
    <t>5.1 MMR ratio</t>
  </si>
  <si>
    <t>H103*5.1</t>
  </si>
  <si>
    <t>Cross Rework- Barudan</t>
  </si>
  <si>
    <t>Barudan machines above 8</t>
  </si>
  <si>
    <t>(H82-8)*1*3</t>
  </si>
  <si>
    <t>Cross Rework- Schmale</t>
  </si>
  <si>
    <t>8 Schmale machines</t>
  </si>
  <si>
    <t>8*1*3</t>
  </si>
  <si>
    <t>Length Rework</t>
  </si>
  <si>
    <t>H92*1*3</t>
  </si>
  <si>
    <t>Length Seam Opening (1.6 MMR)</t>
  </si>
  <si>
    <t>1.6 MMR</t>
  </si>
  <si>
    <t>ROUNDUP(H92*1.6,0)</t>
  </si>
  <si>
    <t>Mending &amp; PCs recovery of Stitch</t>
  </si>
  <si>
    <t>0.4 MMR</t>
  </si>
  <si>
    <t>ROUND((H41+H60)*0.4,0)</t>
  </si>
  <si>
    <t>Material Feeding to Tailor</t>
  </si>
  <si>
    <t>0.24 MMR</t>
  </si>
  <si>
    <t>ROUND(H82*0.24,0)</t>
  </si>
  <si>
    <t>Line Jobber</t>
  </si>
  <si>
    <t>Label Cutting</t>
  </si>
  <si>
    <t>1 person / shift</t>
  </si>
  <si>
    <t>Towel Cross Cutting</t>
  </si>
  <si>
    <t>Manual LH machines / shift</t>
  </si>
  <si>
    <t>H60*3</t>
  </si>
  <si>
    <t>Down Grade - Tailor</t>
  </si>
  <si>
    <t>8 tailors / shift</t>
  </si>
  <si>
    <t>Helper - Down Grade</t>
  </si>
  <si>
    <t>3 helpers / shift</t>
  </si>
  <si>
    <t>Tailor - Length Rework</t>
  </si>
  <si>
    <t>1 tailor / machine / shift</t>
  </si>
  <si>
    <t>H144*1*3</t>
  </si>
  <si>
    <t>Length Seam Opening (4.31 MMR)</t>
  </si>
  <si>
    <t>4.31 MMR</t>
  </si>
  <si>
    <t>H144*4.31</t>
  </si>
  <si>
    <t>Tailor - Company Line</t>
  </si>
  <si>
    <t>H119*1*3</t>
  </si>
  <si>
    <t>Line Feeding (0.36 MMR)</t>
  </si>
  <si>
    <t>0.36 MMR</t>
  </si>
  <si>
    <t>H119*0.36</t>
  </si>
  <si>
    <t>Stain &amp; Mending (0.67 MMR)</t>
  </si>
  <si>
    <t>0.67 MMR</t>
  </si>
  <si>
    <t>H119*0.67</t>
  </si>
  <si>
    <t>Tailor - Contract Line</t>
  </si>
  <si>
    <t>H134*1*3</t>
  </si>
  <si>
    <t>Helper - Contract Line</t>
  </si>
  <si>
    <t>2.1 MMR</t>
  </si>
  <si>
    <t>ROUND(H134*2.1,0)</t>
  </si>
  <si>
    <t>Barudan &amp; Schmale - Fitter &amp; PM</t>
  </si>
  <si>
    <t>8 fitters / shift</t>
  </si>
  <si>
    <t>L/C &amp; L/H - Fitter &amp; PM</t>
  </si>
  <si>
    <t>3 fitters / shift</t>
  </si>
  <si>
    <t>Juki - Fitter &amp; PM</t>
  </si>
  <si>
    <t>4 fitters / shift</t>
  </si>
  <si>
    <t>Polybag - Fitter</t>
  </si>
  <si>
    <t>2+2+1</t>
  </si>
  <si>
    <t>Documentation / Spare Store</t>
  </si>
  <si>
    <t>1 general shift</t>
  </si>
  <si>
    <t>Sharp Tool Control &amp; General Work</t>
  </si>
  <si>
    <t>Production Entry &amp; Barcode Printing</t>
  </si>
  <si>
    <t>Auto Poly Packing Operator</t>
  </si>
  <si>
    <t>10 machines / shift</t>
  </si>
  <si>
    <t>10*1*3</t>
  </si>
  <si>
    <t>Material Movement from Sewing to Packing</t>
  </si>
  <si>
    <t>6 persons / shift</t>
  </si>
  <si>
    <t>Poly Packing (0.46 MMR)</t>
  </si>
  <si>
    <t>0.46 MMR</t>
  </si>
  <si>
    <t>((Capacity/1000/0.46)-51+36)+(17*3)</t>
  </si>
  <si>
    <t>0.93 MMR</t>
  </si>
  <si>
    <t>Capacity/1000/0.93</t>
  </si>
  <si>
    <t>Auto Carton Sealing</t>
  </si>
  <si>
    <t>Floor Operators</t>
  </si>
  <si>
    <t>Packing - Jobber</t>
  </si>
  <si>
    <t>5 jobbers / shift</t>
  </si>
  <si>
    <t>Auto Wrapping M/C</t>
  </si>
  <si>
    <t>1 operator / shift</t>
  </si>
  <si>
    <t>Manual Strapping M/C</t>
  </si>
  <si>
    <t>8 operators / shift</t>
  </si>
  <si>
    <t>Carton Issue Slip &amp; CTN Sticker</t>
  </si>
  <si>
    <t>5 persons / shift</t>
  </si>
  <si>
    <t>Re-Packing</t>
  </si>
  <si>
    <t>Order Tracking</t>
  </si>
  <si>
    <t>Trims Sub Store</t>
  </si>
  <si>
    <t>Trims Issue for Stitching &amp; Packing</t>
  </si>
  <si>
    <t>Oddman Center</t>
  </si>
  <si>
    <t>Down Grade Packing</t>
  </si>
  <si>
    <t>House Keeping</t>
  </si>
  <si>
    <t>TT TQM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</si>
</sst>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33CC7-9F29-4521-9F43-292ADE3B342B}">
  <dimension ref="A1:Y443"/>
  <sheetViews>
    <sheetView tabSelected="1" topLeftCell="H1" zoomScale="83" zoomScaleNormal="115" workbookViewId="0">
      <pane ySplit="1" topLeftCell="A241" activePane="bottomLeft" state="frozen"/>
      <selection pane="bottomLeft" activeCell="L186" sqref="L186:X251"/>
    </sheetView>
  </sheetViews>
  <sheetFormatPr defaultColWidth="6.33203125" defaultRowHeight="14.4" x14ac:dyDescent="0.3"/>
  <cols>
    <col min="1" max="1" width="7.44140625" bestFit="1" customWidth="1"/>
    <col min="2" max="2" width="11.88671875" bestFit="1" customWidth="1"/>
    <col min="3" max="3" width="29.6640625" bestFit="1" customWidth="1"/>
    <col min="4" max="4" width="5.5546875" bestFit="1" customWidth="1"/>
    <col min="5" max="5" width="30" bestFit="1" customWidth="1"/>
    <col min="6" max="6" width="100" bestFit="1" customWidth="1"/>
    <col min="7" max="7" width="13.21875" bestFit="1" customWidth="1"/>
    <col min="8" max="8" width="17.88671875" bestFit="1" customWidth="1"/>
    <col min="9" max="9" width="29.109375" bestFit="1" customWidth="1"/>
    <col min="10" max="10" width="23.77734375" bestFit="1" customWidth="1"/>
    <col min="11" max="11" width="23.77734375" customWidth="1"/>
    <col min="12" max="12" width="20.33203125" bestFit="1" customWidth="1"/>
    <col min="13" max="13" width="12.77734375" bestFit="1" customWidth="1"/>
    <col min="14" max="14" width="13.5546875" customWidth="1"/>
    <col min="15" max="15" width="21.88671875" customWidth="1"/>
    <col min="16" max="16" width="17" bestFit="1" customWidth="1"/>
    <col min="17" max="17" width="6.33203125" bestFit="1" customWidth="1"/>
    <col min="18" max="18" width="11.33203125" bestFit="1" customWidth="1"/>
    <col min="19" max="21" width="6.77734375" bestFit="1" customWidth="1"/>
    <col min="22" max="22" width="7" bestFit="1" customWidth="1"/>
    <col min="23" max="23" width="83" bestFit="1" customWidth="1"/>
    <col min="24" max="24" width="11.21875" bestFit="1" customWidth="1"/>
    <col min="25" max="25" width="23.5546875" bestFit="1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636</v>
      </c>
      <c r="I1" t="s">
        <v>7</v>
      </c>
      <c r="J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635</v>
      </c>
    </row>
    <row r="2" spans="1:25" x14ac:dyDescent="0.3">
      <c r="A2" t="s">
        <v>22</v>
      </c>
      <c r="B2" t="s">
        <v>28</v>
      </c>
      <c r="C2" t="s">
        <v>29</v>
      </c>
      <c r="D2">
        <v>1</v>
      </c>
      <c r="E2" t="s">
        <v>23</v>
      </c>
      <c r="F2" t="s">
        <v>31</v>
      </c>
      <c r="I2" t="s">
        <v>586</v>
      </c>
      <c r="J2" t="s">
        <v>305</v>
      </c>
      <c r="L2">
        <v>2</v>
      </c>
      <c r="M2" t="s">
        <v>25</v>
      </c>
      <c r="N2">
        <v>0</v>
      </c>
      <c r="O2">
        <v>2</v>
      </c>
      <c r="P2">
        <v>2</v>
      </c>
      <c r="Q2">
        <v>1</v>
      </c>
      <c r="R2">
        <v>2</v>
      </c>
      <c r="S2">
        <v>0</v>
      </c>
      <c r="T2">
        <v>0</v>
      </c>
      <c r="U2">
        <v>0</v>
      </c>
      <c r="V2">
        <v>0</v>
      </c>
      <c r="X2" t="s">
        <v>27</v>
      </c>
    </row>
    <row r="3" spans="1:25" x14ac:dyDescent="0.3">
      <c r="A3" t="s">
        <v>22</v>
      </c>
      <c r="B3" t="s">
        <v>28</v>
      </c>
      <c r="C3" t="s">
        <v>29</v>
      </c>
      <c r="D3">
        <v>2</v>
      </c>
      <c r="E3" t="s">
        <v>30</v>
      </c>
      <c r="F3" t="s">
        <v>31</v>
      </c>
      <c r="H3">
        <v>7</v>
      </c>
      <c r="I3" t="s">
        <v>33</v>
      </c>
      <c r="J3" t="s">
        <v>34</v>
      </c>
      <c r="L3">
        <v>6</v>
      </c>
      <c r="M3" t="s">
        <v>25</v>
      </c>
      <c r="N3">
        <v>0</v>
      </c>
      <c r="O3">
        <v>6</v>
      </c>
      <c r="P3">
        <v>6</v>
      </c>
      <c r="Q3">
        <v>3</v>
      </c>
      <c r="R3">
        <v>0</v>
      </c>
      <c r="S3">
        <v>2</v>
      </c>
      <c r="T3">
        <v>2</v>
      </c>
      <c r="U3">
        <v>2</v>
      </c>
      <c r="V3">
        <v>0</v>
      </c>
      <c r="W3" t="s">
        <v>32</v>
      </c>
      <c r="X3" t="s">
        <v>27</v>
      </c>
    </row>
    <row r="4" spans="1:25" x14ac:dyDescent="0.3">
      <c r="A4" t="s">
        <v>22</v>
      </c>
      <c r="B4" t="s">
        <v>28</v>
      </c>
      <c r="C4" t="s">
        <v>29</v>
      </c>
      <c r="D4">
        <v>3</v>
      </c>
      <c r="E4" t="s">
        <v>35</v>
      </c>
      <c r="F4" t="s">
        <v>31</v>
      </c>
      <c r="H4">
        <v>49</v>
      </c>
      <c r="I4" t="s">
        <v>37</v>
      </c>
      <c r="J4" t="s">
        <v>38</v>
      </c>
      <c r="L4">
        <v>12</v>
      </c>
      <c r="M4" t="s">
        <v>25</v>
      </c>
      <c r="N4">
        <v>0</v>
      </c>
      <c r="O4">
        <v>12</v>
      </c>
      <c r="P4">
        <v>12</v>
      </c>
      <c r="Q4">
        <v>3</v>
      </c>
      <c r="R4">
        <v>0</v>
      </c>
      <c r="S4">
        <v>4</v>
      </c>
      <c r="T4">
        <v>4</v>
      </c>
      <c r="U4">
        <v>4</v>
      </c>
      <c r="V4">
        <v>0</v>
      </c>
      <c r="W4" t="s">
        <v>36</v>
      </c>
      <c r="X4" t="s">
        <v>27</v>
      </c>
    </row>
    <row r="5" spans="1:25" x14ac:dyDescent="0.3">
      <c r="A5" t="s">
        <v>22</v>
      </c>
      <c r="B5" t="s">
        <v>28</v>
      </c>
      <c r="C5" t="s">
        <v>29</v>
      </c>
      <c r="D5">
        <v>4</v>
      </c>
      <c r="E5" t="s">
        <v>39</v>
      </c>
      <c r="F5" t="s">
        <v>31</v>
      </c>
      <c r="G5">
        <v>31</v>
      </c>
      <c r="I5" t="s">
        <v>41</v>
      </c>
      <c r="J5" t="s">
        <v>42</v>
      </c>
      <c r="L5">
        <v>15</v>
      </c>
      <c r="M5" t="s">
        <v>25</v>
      </c>
      <c r="N5">
        <v>0</v>
      </c>
      <c r="O5">
        <v>15</v>
      </c>
      <c r="P5">
        <v>15</v>
      </c>
      <c r="Q5">
        <v>3</v>
      </c>
      <c r="R5">
        <v>0</v>
      </c>
      <c r="S5">
        <v>5</v>
      </c>
      <c r="T5">
        <v>5</v>
      </c>
      <c r="U5">
        <v>5</v>
      </c>
      <c r="V5">
        <v>0</v>
      </c>
      <c r="W5" t="s">
        <v>40</v>
      </c>
      <c r="X5" t="s">
        <v>27</v>
      </c>
    </row>
    <row r="6" spans="1:25" x14ac:dyDescent="0.3">
      <c r="A6" t="s">
        <v>22</v>
      </c>
      <c r="B6" t="s">
        <v>28</v>
      </c>
      <c r="C6" t="s">
        <v>29</v>
      </c>
      <c r="D6">
        <v>5</v>
      </c>
      <c r="E6" t="s">
        <v>43</v>
      </c>
      <c r="F6" t="s">
        <v>31</v>
      </c>
      <c r="H6">
        <v>15</v>
      </c>
      <c r="I6" t="s">
        <v>45</v>
      </c>
      <c r="J6" t="s">
        <v>588</v>
      </c>
      <c r="L6">
        <v>12</v>
      </c>
      <c r="M6" t="s">
        <v>25</v>
      </c>
      <c r="N6">
        <v>0</v>
      </c>
      <c r="O6">
        <v>12</v>
      </c>
      <c r="P6">
        <v>12</v>
      </c>
      <c r="Q6">
        <v>3</v>
      </c>
      <c r="R6">
        <v>0</v>
      </c>
      <c r="S6">
        <v>4</v>
      </c>
      <c r="T6">
        <v>4</v>
      </c>
      <c r="U6">
        <v>4</v>
      </c>
      <c r="V6">
        <v>0</v>
      </c>
      <c r="W6" t="s">
        <v>44</v>
      </c>
      <c r="X6" t="s">
        <v>27</v>
      </c>
    </row>
    <row r="7" spans="1:25" x14ac:dyDescent="0.3">
      <c r="A7" t="s">
        <v>22</v>
      </c>
      <c r="B7" t="s">
        <v>28</v>
      </c>
      <c r="C7" t="s">
        <v>29</v>
      </c>
      <c r="D7">
        <v>6</v>
      </c>
      <c r="E7" t="s">
        <v>46</v>
      </c>
      <c r="F7" t="s">
        <v>31</v>
      </c>
      <c r="G7">
        <v>8</v>
      </c>
      <c r="I7" t="s">
        <v>48</v>
      </c>
      <c r="J7" t="s">
        <v>49</v>
      </c>
      <c r="K7">
        <f>8/1.2</f>
        <v>6.666666666666667</v>
      </c>
      <c r="L7">
        <v>21</v>
      </c>
      <c r="M7" t="s">
        <v>25</v>
      </c>
      <c r="N7">
        <v>0</v>
      </c>
      <c r="O7">
        <v>21</v>
      </c>
      <c r="P7">
        <v>21</v>
      </c>
      <c r="Q7">
        <v>3</v>
      </c>
      <c r="R7">
        <v>0</v>
      </c>
      <c r="S7">
        <v>7</v>
      </c>
      <c r="T7">
        <v>7</v>
      </c>
      <c r="U7">
        <v>7</v>
      </c>
      <c r="V7">
        <v>0</v>
      </c>
      <c r="W7" t="s">
        <v>47</v>
      </c>
      <c r="X7" t="s">
        <v>27</v>
      </c>
    </row>
    <row r="8" spans="1:25" x14ac:dyDescent="0.3">
      <c r="A8" t="s">
        <v>22</v>
      </c>
      <c r="B8" t="s">
        <v>28</v>
      </c>
      <c r="C8" t="s">
        <v>29</v>
      </c>
      <c r="D8">
        <v>7</v>
      </c>
      <c r="E8" t="s">
        <v>46</v>
      </c>
      <c r="F8" t="s">
        <v>50</v>
      </c>
      <c r="J8" t="s">
        <v>587</v>
      </c>
      <c r="L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X8" t="s">
        <v>27</v>
      </c>
    </row>
    <row r="9" spans="1:25" x14ac:dyDescent="0.3">
      <c r="A9" t="s">
        <v>22</v>
      </c>
      <c r="B9" t="s">
        <v>28</v>
      </c>
      <c r="C9" t="s">
        <v>29</v>
      </c>
      <c r="D9">
        <v>8</v>
      </c>
      <c r="E9" t="s">
        <v>52</v>
      </c>
      <c r="F9" t="s">
        <v>31</v>
      </c>
      <c r="G9">
        <v>8</v>
      </c>
      <c r="I9" t="s">
        <v>53</v>
      </c>
      <c r="J9" t="s">
        <v>54</v>
      </c>
      <c r="K9">
        <f>8/3</f>
        <v>2.6666666666666665</v>
      </c>
      <c r="L9">
        <v>9</v>
      </c>
      <c r="M9" t="s">
        <v>25</v>
      </c>
      <c r="N9">
        <v>0</v>
      </c>
      <c r="O9">
        <v>9</v>
      </c>
      <c r="P9">
        <v>9</v>
      </c>
      <c r="Q9">
        <v>3</v>
      </c>
      <c r="R9">
        <v>0</v>
      </c>
      <c r="S9">
        <v>3</v>
      </c>
      <c r="T9">
        <v>3</v>
      </c>
      <c r="U9">
        <v>3</v>
      </c>
      <c r="V9">
        <v>0</v>
      </c>
      <c r="W9" t="s">
        <v>47</v>
      </c>
      <c r="X9" t="s">
        <v>27</v>
      </c>
    </row>
    <row r="10" spans="1:25" x14ac:dyDescent="0.3">
      <c r="A10" t="s">
        <v>22</v>
      </c>
      <c r="B10" t="s">
        <v>28</v>
      </c>
      <c r="C10" t="s">
        <v>29</v>
      </c>
      <c r="D10">
        <v>9</v>
      </c>
      <c r="E10" t="s">
        <v>52</v>
      </c>
      <c r="F10" t="s">
        <v>50</v>
      </c>
      <c r="I10" t="s">
        <v>294</v>
      </c>
      <c r="J10" t="s">
        <v>587</v>
      </c>
      <c r="L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X10" t="s">
        <v>27</v>
      </c>
    </row>
    <row r="11" spans="1:25" x14ac:dyDescent="0.3">
      <c r="A11" t="s">
        <v>22</v>
      </c>
      <c r="B11" t="s">
        <v>28</v>
      </c>
      <c r="C11" t="s">
        <v>29</v>
      </c>
      <c r="D11">
        <v>10</v>
      </c>
      <c r="E11" t="s">
        <v>52</v>
      </c>
      <c r="F11" t="s">
        <v>55</v>
      </c>
      <c r="I11" t="s">
        <v>598</v>
      </c>
      <c r="J11" t="s">
        <v>227</v>
      </c>
      <c r="L11">
        <v>3</v>
      </c>
      <c r="M11" t="s">
        <v>25</v>
      </c>
      <c r="N11">
        <v>0</v>
      </c>
      <c r="O11">
        <v>3</v>
      </c>
      <c r="P11">
        <v>3</v>
      </c>
      <c r="Q11">
        <v>3</v>
      </c>
      <c r="R11">
        <v>0</v>
      </c>
      <c r="S11">
        <v>1</v>
      </c>
      <c r="T11">
        <v>1</v>
      </c>
      <c r="U11">
        <v>1</v>
      </c>
      <c r="V11">
        <v>0</v>
      </c>
      <c r="X11" t="s">
        <v>27</v>
      </c>
    </row>
    <row r="12" spans="1:25" x14ac:dyDescent="0.3">
      <c r="A12" t="s">
        <v>22</v>
      </c>
      <c r="B12" t="s">
        <v>28</v>
      </c>
      <c r="C12" t="s">
        <v>29</v>
      </c>
      <c r="D12">
        <v>11</v>
      </c>
      <c r="E12" t="s">
        <v>52</v>
      </c>
      <c r="F12" t="s">
        <v>57</v>
      </c>
      <c r="J12" t="s">
        <v>214</v>
      </c>
      <c r="L12">
        <v>6</v>
      </c>
      <c r="M12" t="s">
        <v>25</v>
      </c>
      <c r="N12">
        <v>0</v>
      </c>
      <c r="O12">
        <v>6</v>
      </c>
      <c r="P12">
        <v>6</v>
      </c>
      <c r="Q12">
        <v>3</v>
      </c>
      <c r="R12">
        <v>0</v>
      </c>
      <c r="S12">
        <v>2</v>
      </c>
      <c r="T12">
        <v>2</v>
      </c>
      <c r="U12">
        <v>2</v>
      </c>
      <c r="V12">
        <v>0</v>
      </c>
      <c r="X12" t="s">
        <v>27</v>
      </c>
    </row>
    <row r="13" spans="1:25" x14ac:dyDescent="0.3">
      <c r="A13" t="s">
        <v>22</v>
      </c>
      <c r="B13" t="s">
        <v>28</v>
      </c>
      <c r="C13" t="s">
        <v>58</v>
      </c>
      <c r="D13">
        <v>1</v>
      </c>
      <c r="E13" t="s">
        <v>59</v>
      </c>
      <c r="F13" t="s">
        <v>31</v>
      </c>
      <c r="G13">
        <v>24</v>
      </c>
      <c r="I13" t="s">
        <v>61</v>
      </c>
      <c r="J13" t="s">
        <v>590</v>
      </c>
      <c r="K13">
        <f>24/2.5</f>
        <v>9.6</v>
      </c>
      <c r="L13">
        <v>36</v>
      </c>
      <c r="M13" t="s">
        <v>62</v>
      </c>
      <c r="N13">
        <v>6</v>
      </c>
      <c r="O13">
        <v>30</v>
      </c>
      <c r="P13">
        <v>36</v>
      </c>
      <c r="Q13">
        <v>3</v>
      </c>
      <c r="R13">
        <v>0</v>
      </c>
      <c r="S13">
        <v>12</v>
      </c>
      <c r="T13">
        <v>12</v>
      </c>
      <c r="U13">
        <v>12</v>
      </c>
      <c r="V13">
        <v>0</v>
      </c>
      <c r="W13" t="s">
        <v>60</v>
      </c>
      <c r="X13" t="s">
        <v>27</v>
      </c>
    </row>
    <row r="14" spans="1:25" x14ac:dyDescent="0.3">
      <c r="A14" t="s">
        <v>22</v>
      </c>
      <c r="B14" t="s">
        <v>28</v>
      </c>
      <c r="C14" t="s">
        <v>58</v>
      </c>
      <c r="D14">
        <v>2</v>
      </c>
      <c r="E14" t="s">
        <v>59</v>
      </c>
      <c r="F14" t="s">
        <v>63</v>
      </c>
      <c r="I14" t="s">
        <v>64</v>
      </c>
      <c r="J14" t="s">
        <v>589</v>
      </c>
      <c r="L14">
        <v>12</v>
      </c>
      <c r="M14" t="s">
        <v>25</v>
      </c>
      <c r="N14">
        <v>0</v>
      </c>
      <c r="O14">
        <v>12</v>
      </c>
      <c r="P14">
        <v>12</v>
      </c>
      <c r="Q14">
        <v>3</v>
      </c>
      <c r="R14">
        <v>0</v>
      </c>
      <c r="S14">
        <v>4</v>
      </c>
      <c r="T14">
        <v>4</v>
      </c>
      <c r="U14">
        <v>4</v>
      </c>
      <c r="V14">
        <v>0</v>
      </c>
      <c r="X14" t="s">
        <v>27</v>
      </c>
    </row>
    <row r="15" spans="1:25" x14ac:dyDescent="0.3">
      <c r="A15" t="s">
        <v>22</v>
      </c>
      <c r="B15" t="s">
        <v>28</v>
      </c>
      <c r="C15" t="s">
        <v>58</v>
      </c>
      <c r="D15">
        <v>3</v>
      </c>
      <c r="E15" t="s">
        <v>59</v>
      </c>
      <c r="F15" t="s">
        <v>65</v>
      </c>
      <c r="I15" t="s">
        <v>66</v>
      </c>
      <c r="J15" t="s">
        <v>591</v>
      </c>
      <c r="L15">
        <v>9</v>
      </c>
      <c r="M15" t="s">
        <v>25</v>
      </c>
      <c r="N15">
        <v>0</v>
      </c>
      <c r="O15">
        <v>9</v>
      </c>
      <c r="P15">
        <v>9</v>
      </c>
      <c r="Q15">
        <v>3</v>
      </c>
      <c r="R15">
        <v>0</v>
      </c>
      <c r="S15">
        <v>3</v>
      </c>
      <c r="T15">
        <v>3</v>
      </c>
      <c r="U15">
        <v>3</v>
      </c>
      <c r="V15">
        <v>0</v>
      </c>
      <c r="X15" t="s">
        <v>67</v>
      </c>
    </row>
    <row r="16" spans="1:25" x14ac:dyDescent="0.3">
      <c r="A16" t="s">
        <v>22</v>
      </c>
      <c r="B16" t="s">
        <v>28</v>
      </c>
      <c r="C16" t="s">
        <v>58</v>
      </c>
      <c r="D16">
        <v>4</v>
      </c>
      <c r="E16" t="s">
        <v>59</v>
      </c>
      <c r="F16" t="s">
        <v>68</v>
      </c>
      <c r="I16" t="s">
        <v>69</v>
      </c>
      <c r="J16" t="s">
        <v>592</v>
      </c>
      <c r="L16">
        <v>6</v>
      </c>
      <c r="M16" t="s">
        <v>25</v>
      </c>
      <c r="N16">
        <v>0</v>
      </c>
      <c r="O16">
        <v>6</v>
      </c>
      <c r="P16">
        <v>6</v>
      </c>
      <c r="Q16">
        <v>3</v>
      </c>
      <c r="R16">
        <v>0</v>
      </c>
      <c r="S16">
        <v>2</v>
      </c>
      <c r="T16">
        <v>2</v>
      </c>
      <c r="U16">
        <v>2</v>
      </c>
      <c r="V16">
        <v>0</v>
      </c>
      <c r="X16" t="s">
        <v>67</v>
      </c>
    </row>
    <row r="17" spans="1:24" x14ac:dyDescent="0.3">
      <c r="A17" t="s">
        <v>22</v>
      </c>
      <c r="B17" t="s">
        <v>28</v>
      </c>
      <c r="C17" t="s">
        <v>58</v>
      </c>
      <c r="D17">
        <v>5</v>
      </c>
      <c r="E17" t="s">
        <v>59</v>
      </c>
      <c r="F17" t="s">
        <v>70</v>
      </c>
      <c r="I17" t="s">
        <v>71</v>
      </c>
      <c r="J17" t="s">
        <v>589</v>
      </c>
      <c r="L17">
        <v>12</v>
      </c>
      <c r="M17" t="s">
        <v>25</v>
      </c>
      <c r="N17">
        <v>0</v>
      </c>
      <c r="O17">
        <v>12</v>
      </c>
      <c r="P17">
        <v>12</v>
      </c>
      <c r="Q17">
        <v>3</v>
      </c>
      <c r="R17">
        <v>0</v>
      </c>
      <c r="S17">
        <v>4</v>
      </c>
      <c r="T17">
        <v>4</v>
      </c>
      <c r="U17">
        <v>4</v>
      </c>
      <c r="V17">
        <v>0</v>
      </c>
      <c r="X17" t="s">
        <v>27</v>
      </c>
    </row>
    <row r="18" spans="1:24" x14ac:dyDescent="0.3">
      <c r="A18" t="s">
        <v>22</v>
      </c>
      <c r="B18" t="s">
        <v>28</v>
      </c>
      <c r="C18" t="s">
        <v>58</v>
      </c>
      <c r="D18">
        <v>6</v>
      </c>
      <c r="E18" t="s">
        <v>59</v>
      </c>
      <c r="F18" t="s">
        <v>72</v>
      </c>
      <c r="I18" t="s">
        <v>73</v>
      </c>
      <c r="J18" t="s">
        <v>593</v>
      </c>
      <c r="L18">
        <v>3</v>
      </c>
      <c r="M18" t="s">
        <v>25</v>
      </c>
      <c r="N18">
        <v>0</v>
      </c>
      <c r="O18">
        <v>3</v>
      </c>
      <c r="P18">
        <v>3</v>
      </c>
      <c r="Q18">
        <v>3</v>
      </c>
      <c r="R18">
        <v>0</v>
      </c>
      <c r="S18">
        <v>1</v>
      </c>
      <c r="T18">
        <v>1</v>
      </c>
      <c r="U18">
        <v>1</v>
      </c>
      <c r="V18">
        <v>0</v>
      </c>
      <c r="X18" t="s">
        <v>74</v>
      </c>
    </row>
    <row r="19" spans="1:24" x14ac:dyDescent="0.3">
      <c r="A19" t="s">
        <v>22</v>
      </c>
      <c r="B19" t="s">
        <v>28</v>
      </c>
      <c r="C19" t="s">
        <v>58</v>
      </c>
      <c r="D19">
        <v>7</v>
      </c>
      <c r="E19" t="s">
        <v>59</v>
      </c>
      <c r="F19" t="s">
        <v>75</v>
      </c>
      <c r="I19" t="s">
        <v>76</v>
      </c>
      <c r="J19" t="s">
        <v>594</v>
      </c>
      <c r="L19">
        <v>2</v>
      </c>
      <c r="M19" t="s">
        <v>25</v>
      </c>
      <c r="N19">
        <v>0</v>
      </c>
      <c r="O19">
        <v>2</v>
      </c>
      <c r="P19">
        <v>2</v>
      </c>
      <c r="Q19">
        <v>3</v>
      </c>
      <c r="R19">
        <v>0</v>
      </c>
      <c r="S19">
        <v>0.67</v>
      </c>
      <c r="T19">
        <v>0.67</v>
      </c>
      <c r="U19">
        <v>0.66</v>
      </c>
      <c r="V19">
        <v>0</v>
      </c>
      <c r="X19" t="s">
        <v>67</v>
      </c>
    </row>
    <row r="20" spans="1:24" x14ac:dyDescent="0.3">
      <c r="A20" t="s">
        <v>22</v>
      </c>
      <c r="B20" t="s">
        <v>28</v>
      </c>
      <c r="C20" t="s">
        <v>58</v>
      </c>
      <c r="D20">
        <v>8</v>
      </c>
      <c r="E20" t="s">
        <v>59</v>
      </c>
      <c r="F20" t="s">
        <v>77</v>
      </c>
      <c r="I20" t="s">
        <v>78</v>
      </c>
      <c r="J20" t="s">
        <v>593</v>
      </c>
      <c r="L20">
        <v>3</v>
      </c>
      <c r="M20" t="s">
        <v>25</v>
      </c>
      <c r="N20">
        <v>0</v>
      </c>
      <c r="O20">
        <v>3</v>
      </c>
      <c r="P20">
        <v>3</v>
      </c>
      <c r="Q20">
        <v>3</v>
      </c>
      <c r="R20">
        <v>0</v>
      </c>
      <c r="S20">
        <v>1</v>
      </c>
      <c r="T20">
        <v>1</v>
      </c>
      <c r="U20">
        <v>1</v>
      </c>
      <c r="V20">
        <v>0</v>
      </c>
      <c r="X20" t="s">
        <v>27</v>
      </c>
    </row>
    <row r="21" spans="1:24" x14ac:dyDescent="0.3">
      <c r="A21" t="s">
        <v>22</v>
      </c>
      <c r="B21" t="s">
        <v>28</v>
      </c>
      <c r="C21" t="s">
        <v>58</v>
      </c>
      <c r="D21">
        <v>9</v>
      </c>
      <c r="E21" t="s">
        <v>59</v>
      </c>
      <c r="F21" t="s">
        <v>19</v>
      </c>
      <c r="I21" t="s">
        <v>79</v>
      </c>
      <c r="J21" t="s">
        <v>593</v>
      </c>
      <c r="L21">
        <v>3</v>
      </c>
      <c r="M21" t="s">
        <v>25</v>
      </c>
      <c r="N21">
        <v>0</v>
      </c>
      <c r="O21">
        <v>3</v>
      </c>
      <c r="P21">
        <v>3</v>
      </c>
      <c r="Q21">
        <v>3</v>
      </c>
      <c r="R21">
        <v>0</v>
      </c>
      <c r="S21">
        <v>1</v>
      </c>
      <c r="T21">
        <v>1</v>
      </c>
      <c r="U21">
        <v>1</v>
      </c>
      <c r="V21">
        <v>0</v>
      </c>
      <c r="X21" t="s">
        <v>27</v>
      </c>
    </row>
    <row r="22" spans="1:24" x14ac:dyDescent="0.3">
      <c r="A22" t="s">
        <v>22</v>
      </c>
      <c r="B22" t="s">
        <v>28</v>
      </c>
      <c r="C22" t="s">
        <v>58</v>
      </c>
      <c r="D22">
        <v>10</v>
      </c>
      <c r="E22" t="s">
        <v>59</v>
      </c>
      <c r="F22" t="s">
        <v>55</v>
      </c>
      <c r="I22" t="s">
        <v>80</v>
      </c>
      <c r="J22" t="s">
        <v>589</v>
      </c>
      <c r="L22">
        <v>3</v>
      </c>
      <c r="M22" t="s">
        <v>25</v>
      </c>
      <c r="N22">
        <v>0</v>
      </c>
      <c r="O22">
        <v>3</v>
      </c>
      <c r="P22">
        <v>3</v>
      </c>
      <c r="Q22">
        <v>3</v>
      </c>
      <c r="R22">
        <v>0</v>
      </c>
      <c r="S22">
        <v>1</v>
      </c>
      <c r="T22">
        <v>1</v>
      </c>
      <c r="U22">
        <v>1</v>
      </c>
      <c r="V22">
        <v>0</v>
      </c>
      <c r="X22" t="s">
        <v>27</v>
      </c>
    </row>
    <row r="23" spans="1:24" x14ac:dyDescent="0.3">
      <c r="A23" t="s">
        <v>22</v>
      </c>
      <c r="B23" t="s">
        <v>28</v>
      </c>
      <c r="C23" t="s">
        <v>81</v>
      </c>
      <c r="D23">
        <v>1</v>
      </c>
      <c r="E23" t="s">
        <v>82</v>
      </c>
      <c r="F23" t="s">
        <v>31</v>
      </c>
      <c r="G23">
        <v>39</v>
      </c>
      <c r="I23" t="s">
        <v>61</v>
      </c>
      <c r="J23" t="s">
        <v>599</v>
      </c>
      <c r="L23">
        <v>54</v>
      </c>
      <c r="M23" t="s">
        <v>62</v>
      </c>
      <c r="N23">
        <v>6</v>
      </c>
      <c r="O23">
        <v>48</v>
      </c>
      <c r="P23">
        <v>54</v>
      </c>
      <c r="Q23">
        <v>3</v>
      </c>
      <c r="R23">
        <v>0</v>
      </c>
      <c r="S23">
        <v>18</v>
      </c>
      <c r="T23">
        <v>18</v>
      </c>
      <c r="U23">
        <v>18</v>
      </c>
      <c r="V23">
        <v>0</v>
      </c>
      <c r="W23" t="s">
        <v>83</v>
      </c>
      <c r="X23" t="s">
        <v>27</v>
      </c>
    </row>
    <row r="24" spans="1:24" x14ac:dyDescent="0.3">
      <c r="A24" t="s">
        <v>22</v>
      </c>
      <c r="B24" t="s">
        <v>28</v>
      </c>
      <c r="C24" t="s">
        <v>81</v>
      </c>
      <c r="D24">
        <v>2</v>
      </c>
      <c r="E24" t="s">
        <v>82</v>
      </c>
      <c r="F24" t="s">
        <v>70</v>
      </c>
      <c r="I24" t="s">
        <v>84</v>
      </c>
      <c r="J24" t="s">
        <v>600</v>
      </c>
      <c r="L24">
        <v>9</v>
      </c>
      <c r="M24" t="s">
        <v>25</v>
      </c>
      <c r="N24">
        <v>0</v>
      </c>
      <c r="O24">
        <v>9</v>
      </c>
      <c r="P24">
        <v>9</v>
      </c>
      <c r="Q24">
        <v>3</v>
      </c>
      <c r="R24">
        <v>0</v>
      </c>
      <c r="S24">
        <v>3</v>
      </c>
      <c r="T24">
        <v>3</v>
      </c>
      <c r="U24">
        <v>3</v>
      </c>
      <c r="V24">
        <v>0</v>
      </c>
      <c r="X24" t="s">
        <v>27</v>
      </c>
    </row>
    <row r="25" spans="1:24" x14ac:dyDescent="0.3">
      <c r="A25" t="s">
        <v>22</v>
      </c>
      <c r="B25" t="s">
        <v>28</v>
      </c>
      <c r="C25" t="s">
        <v>81</v>
      </c>
      <c r="D25">
        <v>3</v>
      </c>
      <c r="E25" t="s">
        <v>82</v>
      </c>
      <c r="F25" t="s">
        <v>85</v>
      </c>
      <c r="I25" t="s">
        <v>86</v>
      </c>
      <c r="J25" t="s">
        <v>601</v>
      </c>
      <c r="L25">
        <v>2</v>
      </c>
      <c r="M25" t="s">
        <v>25</v>
      </c>
      <c r="N25">
        <v>0</v>
      </c>
      <c r="O25">
        <v>2</v>
      </c>
      <c r="P25">
        <v>2</v>
      </c>
      <c r="Q25">
        <v>3</v>
      </c>
      <c r="R25">
        <v>0</v>
      </c>
      <c r="S25">
        <v>0.67</v>
      </c>
      <c r="T25">
        <v>0.67</v>
      </c>
      <c r="U25">
        <v>0.66</v>
      </c>
      <c r="V25">
        <v>0</v>
      </c>
      <c r="X25" t="s">
        <v>87</v>
      </c>
    </row>
    <row r="26" spans="1:24" x14ac:dyDescent="0.3">
      <c r="A26" t="s">
        <v>22</v>
      </c>
      <c r="B26" t="s">
        <v>28</v>
      </c>
      <c r="C26" t="s">
        <v>81</v>
      </c>
      <c r="D26">
        <v>4</v>
      </c>
      <c r="E26" t="s">
        <v>82</v>
      </c>
      <c r="F26" t="s">
        <v>63</v>
      </c>
      <c r="I26" t="s">
        <v>88</v>
      </c>
      <c r="J26" t="s">
        <v>603</v>
      </c>
      <c r="L26">
        <v>6</v>
      </c>
      <c r="M26" t="s">
        <v>25</v>
      </c>
      <c r="N26">
        <v>0</v>
      </c>
      <c r="O26">
        <v>6</v>
      </c>
      <c r="P26">
        <v>6</v>
      </c>
      <c r="Q26">
        <v>3</v>
      </c>
      <c r="R26">
        <v>0</v>
      </c>
      <c r="S26">
        <v>2</v>
      </c>
      <c r="T26">
        <v>2</v>
      </c>
      <c r="U26">
        <v>2</v>
      </c>
      <c r="V26">
        <v>0</v>
      </c>
      <c r="X26" t="s">
        <v>27</v>
      </c>
    </row>
    <row r="27" spans="1:24" x14ac:dyDescent="0.3">
      <c r="A27" t="s">
        <v>22</v>
      </c>
      <c r="B27" t="s">
        <v>28</v>
      </c>
      <c r="C27" t="s">
        <v>81</v>
      </c>
      <c r="D27">
        <v>5</v>
      </c>
      <c r="E27" t="s">
        <v>82</v>
      </c>
      <c r="F27" t="s">
        <v>89</v>
      </c>
      <c r="I27" t="s">
        <v>90</v>
      </c>
      <c r="J27" t="s">
        <v>600</v>
      </c>
      <c r="L27">
        <v>9</v>
      </c>
      <c r="M27" t="s">
        <v>25</v>
      </c>
      <c r="N27">
        <v>0</v>
      </c>
      <c r="O27">
        <v>9</v>
      </c>
      <c r="P27">
        <v>9</v>
      </c>
      <c r="Q27">
        <v>3</v>
      </c>
      <c r="R27">
        <v>0</v>
      </c>
      <c r="S27">
        <v>3</v>
      </c>
      <c r="T27">
        <v>3</v>
      </c>
      <c r="U27">
        <v>3</v>
      </c>
      <c r="V27">
        <v>0</v>
      </c>
      <c r="X27" t="s">
        <v>67</v>
      </c>
    </row>
    <row r="28" spans="1:24" x14ac:dyDescent="0.3">
      <c r="A28" t="s">
        <v>22</v>
      </c>
      <c r="B28" t="s">
        <v>28</v>
      </c>
      <c r="C28" t="s">
        <v>81</v>
      </c>
      <c r="D28">
        <v>6</v>
      </c>
      <c r="E28" t="s">
        <v>82</v>
      </c>
      <c r="F28" t="s">
        <v>91</v>
      </c>
      <c r="I28" t="s">
        <v>92</v>
      </c>
      <c r="J28" t="s">
        <v>603</v>
      </c>
      <c r="L28">
        <v>6</v>
      </c>
      <c r="M28" t="s">
        <v>25</v>
      </c>
      <c r="N28">
        <v>0</v>
      </c>
      <c r="O28">
        <v>6</v>
      </c>
      <c r="P28">
        <v>6</v>
      </c>
      <c r="Q28">
        <v>3</v>
      </c>
      <c r="R28">
        <v>0</v>
      </c>
      <c r="S28">
        <v>2</v>
      </c>
      <c r="T28">
        <v>2</v>
      </c>
      <c r="U28">
        <v>2</v>
      </c>
      <c r="V28">
        <v>0</v>
      </c>
      <c r="X28" t="s">
        <v>67</v>
      </c>
    </row>
    <row r="29" spans="1:24" x14ac:dyDescent="0.3">
      <c r="A29" t="s">
        <v>22</v>
      </c>
      <c r="B29" t="s">
        <v>28</v>
      </c>
      <c r="C29" t="s">
        <v>81</v>
      </c>
      <c r="D29">
        <v>7</v>
      </c>
      <c r="E29" t="s">
        <v>82</v>
      </c>
      <c r="F29" t="s">
        <v>93</v>
      </c>
      <c r="I29" t="s">
        <v>94</v>
      </c>
      <c r="J29" t="s">
        <v>604</v>
      </c>
      <c r="L29">
        <v>1</v>
      </c>
      <c r="M29" t="s">
        <v>25</v>
      </c>
      <c r="N29">
        <v>0</v>
      </c>
      <c r="O29">
        <v>1</v>
      </c>
      <c r="P29">
        <v>1</v>
      </c>
      <c r="Q29">
        <v>3</v>
      </c>
      <c r="R29">
        <v>0</v>
      </c>
      <c r="S29">
        <v>0.33</v>
      </c>
      <c r="T29">
        <v>0.33</v>
      </c>
      <c r="U29">
        <v>0.34</v>
      </c>
      <c r="V29">
        <v>0</v>
      </c>
      <c r="X29" t="s">
        <v>67</v>
      </c>
    </row>
    <row r="30" spans="1:24" x14ac:dyDescent="0.3">
      <c r="A30" t="s">
        <v>22</v>
      </c>
      <c r="B30" t="s">
        <v>28</v>
      </c>
      <c r="C30" t="s">
        <v>81</v>
      </c>
      <c r="D30">
        <v>8</v>
      </c>
      <c r="E30" t="s">
        <v>82</v>
      </c>
      <c r="F30" t="s">
        <v>95</v>
      </c>
      <c r="I30" t="s">
        <v>96</v>
      </c>
      <c r="J30" t="s">
        <v>605</v>
      </c>
      <c r="L30">
        <v>4</v>
      </c>
      <c r="M30" t="s">
        <v>25</v>
      </c>
      <c r="N30">
        <v>0</v>
      </c>
      <c r="O30">
        <v>4</v>
      </c>
      <c r="P30">
        <v>4</v>
      </c>
      <c r="Q30">
        <v>3</v>
      </c>
      <c r="R30">
        <v>0</v>
      </c>
      <c r="S30">
        <v>1.33</v>
      </c>
      <c r="T30">
        <v>1.33</v>
      </c>
      <c r="U30">
        <v>1.34</v>
      </c>
      <c r="V30">
        <v>0</v>
      </c>
      <c r="X30" t="s">
        <v>74</v>
      </c>
    </row>
    <row r="31" spans="1:24" x14ac:dyDescent="0.3">
      <c r="A31" t="s">
        <v>22</v>
      </c>
      <c r="B31" t="s">
        <v>28</v>
      </c>
      <c r="C31" t="s">
        <v>81</v>
      </c>
      <c r="D31">
        <v>9</v>
      </c>
      <c r="E31" t="s">
        <v>82</v>
      </c>
      <c r="F31" t="s">
        <v>77</v>
      </c>
      <c r="I31" t="s">
        <v>97</v>
      </c>
      <c r="J31" t="s">
        <v>606</v>
      </c>
      <c r="L31">
        <v>3</v>
      </c>
      <c r="M31" t="s">
        <v>25</v>
      </c>
      <c r="N31">
        <v>0</v>
      </c>
      <c r="O31">
        <v>3</v>
      </c>
      <c r="P31">
        <v>3</v>
      </c>
      <c r="Q31">
        <v>3</v>
      </c>
      <c r="R31">
        <v>0</v>
      </c>
      <c r="S31">
        <v>1</v>
      </c>
      <c r="T31">
        <v>1</v>
      </c>
      <c r="U31">
        <v>1</v>
      </c>
      <c r="V31">
        <v>0</v>
      </c>
      <c r="X31" t="s">
        <v>27</v>
      </c>
    </row>
    <row r="32" spans="1:24" x14ac:dyDescent="0.3">
      <c r="A32" t="s">
        <v>22</v>
      </c>
      <c r="B32" t="s">
        <v>28</v>
      </c>
      <c r="C32" t="s">
        <v>81</v>
      </c>
      <c r="D32">
        <v>10</v>
      </c>
      <c r="E32" t="s">
        <v>82</v>
      </c>
      <c r="F32" t="s">
        <v>57</v>
      </c>
      <c r="I32" t="s">
        <v>98</v>
      </c>
      <c r="J32" t="s">
        <v>606</v>
      </c>
      <c r="L32">
        <v>3</v>
      </c>
      <c r="M32" t="s">
        <v>25</v>
      </c>
      <c r="N32">
        <v>0</v>
      </c>
      <c r="O32">
        <v>3</v>
      </c>
      <c r="P32">
        <v>3</v>
      </c>
      <c r="Q32">
        <v>3</v>
      </c>
      <c r="R32">
        <v>0</v>
      </c>
      <c r="S32">
        <v>1</v>
      </c>
      <c r="T32">
        <v>1</v>
      </c>
      <c r="U32">
        <v>1</v>
      </c>
      <c r="V32">
        <v>0</v>
      </c>
      <c r="X32" t="s">
        <v>27</v>
      </c>
    </row>
    <row r="33" spans="1:24" x14ac:dyDescent="0.3">
      <c r="A33" t="s">
        <v>22</v>
      </c>
      <c r="B33" t="s">
        <v>28</v>
      </c>
      <c r="C33" t="s">
        <v>81</v>
      </c>
      <c r="D33">
        <v>11</v>
      </c>
      <c r="E33" t="s">
        <v>82</v>
      </c>
      <c r="F33" t="s">
        <v>55</v>
      </c>
      <c r="I33" t="s">
        <v>99</v>
      </c>
      <c r="J33" t="s">
        <v>606</v>
      </c>
      <c r="L33">
        <v>3</v>
      </c>
      <c r="M33" t="s">
        <v>25</v>
      </c>
      <c r="N33">
        <v>0</v>
      </c>
      <c r="O33">
        <v>3</v>
      </c>
      <c r="P33">
        <v>3</v>
      </c>
      <c r="Q33">
        <v>3</v>
      </c>
      <c r="R33">
        <v>0</v>
      </c>
      <c r="S33">
        <v>1</v>
      </c>
      <c r="T33">
        <v>1</v>
      </c>
      <c r="U33">
        <v>1</v>
      </c>
      <c r="V33">
        <v>0</v>
      </c>
      <c r="X33" t="s">
        <v>27</v>
      </c>
    </row>
    <row r="34" spans="1:24" x14ac:dyDescent="0.3">
      <c r="A34" t="s">
        <v>22</v>
      </c>
      <c r="B34" t="s">
        <v>28</v>
      </c>
      <c r="C34" t="s">
        <v>58</v>
      </c>
      <c r="D34">
        <v>1</v>
      </c>
      <c r="E34" t="s">
        <v>100</v>
      </c>
      <c r="F34" t="s">
        <v>31</v>
      </c>
      <c r="H34">
        <v>650</v>
      </c>
      <c r="I34" t="s">
        <v>102</v>
      </c>
      <c r="J34" t="s">
        <v>595</v>
      </c>
      <c r="L34">
        <v>33</v>
      </c>
      <c r="M34" t="s">
        <v>25</v>
      </c>
      <c r="N34">
        <v>0</v>
      </c>
      <c r="O34">
        <v>33</v>
      </c>
      <c r="P34">
        <v>33</v>
      </c>
      <c r="Q34">
        <v>3</v>
      </c>
      <c r="R34">
        <v>0</v>
      </c>
      <c r="S34">
        <v>11</v>
      </c>
      <c r="T34">
        <v>11</v>
      </c>
      <c r="U34">
        <v>11</v>
      </c>
      <c r="V34">
        <v>0</v>
      </c>
      <c r="W34" t="s">
        <v>101</v>
      </c>
      <c r="X34" t="s">
        <v>27</v>
      </c>
    </row>
    <row r="35" spans="1:24" x14ac:dyDescent="0.3">
      <c r="A35" t="s">
        <v>22</v>
      </c>
      <c r="B35" t="s">
        <v>28</v>
      </c>
      <c r="C35" t="s">
        <v>58</v>
      </c>
      <c r="D35">
        <v>2</v>
      </c>
      <c r="E35" t="s">
        <v>100</v>
      </c>
      <c r="F35" t="s">
        <v>103</v>
      </c>
      <c r="I35" t="s">
        <v>104</v>
      </c>
      <c r="J35" t="s">
        <v>596</v>
      </c>
      <c r="L35">
        <v>2.5</v>
      </c>
      <c r="M35" t="s">
        <v>25</v>
      </c>
      <c r="N35">
        <v>0</v>
      </c>
      <c r="O35">
        <v>2.5</v>
      </c>
      <c r="P35">
        <v>2.5</v>
      </c>
      <c r="Q35">
        <v>3</v>
      </c>
      <c r="R35">
        <v>0</v>
      </c>
      <c r="S35">
        <v>0.83</v>
      </c>
      <c r="T35">
        <v>0.83</v>
      </c>
      <c r="U35">
        <v>0.84</v>
      </c>
      <c r="V35">
        <v>0</v>
      </c>
      <c r="X35" t="s">
        <v>67</v>
      </c>
    </row>
    <row r="36" spans="1:24" x14ac:dyDescent="0.3">
      <c r="A36" t="s">
        <v>22</v>
      </c>
      <c r="B36" t="s">
        <v>28</v>
      </c>
      <c r="C36" t="s">
        <v>58</v>
      </c>
      <c r="D36">
        <v>3</v>
      </c>
      <c r="E36" t="s">
        <v>100</v>
      </c>
      <c r="F36" t="s">
        <v>105</v>
      </c>
      <c r="I36" t="s">
        <v>106</v>
      </c>
      <c r="J36" t="s">
        <v>597</v>
      </c>
      <c r="L36">
        <v>3</v>
      </c>
      <c r="M36" t="s">
        <v>25</v>
      </c>
      <c r="N36">
        <v>0</v>
      </c>
      <c r="O36">
        <v>3</v>
      </c>
      <c r="P36">
        <v>3</v>
      </c>
      <c r="Q36">
        <v>3</v>
      </c>
      <c r="R36">
        <v>0</v>
      </c>
      <c r="S36">
        <v>1</v>
      </c>
      <c r="T36">
        <v>1</v>
      </c>
      <c r="U36">
        <v>1</v>
      </c>
      <c r="V36">
        <v>0</v>
      </c>
      <c r="X36" t="s">
        <v>67</v>
      </c>
    </row>
    <row r="37" spans="1:24" x14ac:dyDescent="0.3">
      <c r="A37" t="s">
        <v>22</v>
      </c>
      <c r="B37" t="s">
        <v>28</v>
      </c>
      <c r="C37" t="s">
        <v>58</v>
      </c>
      <c r="D37">
        <v>4</v>
      </c>
      <c r="E37" t="s">
        <v>100</v>
      </c>
      <c r="F37" t="s">
        <v>19</v>
      </c>
      <c r="I37" t="s">
        <v>107</v>
      </c>
      <c r="J37" t="s">
        <v>597</v>
      </c>
      <c r="L37">
        <v>3</v>
      </c>
      <c r="M37" t="s">
        <v>25</v>
      </c>
      <c r="N37">
        <v>0</v>
      </c>
      <c r="O37">
        <v>3</v>
      </c>
      <c r="P37">
        <v>3</v>
      </c>
      <c r="Q37">
        <v>3</v>
      </c>
      <c r="R37">
        <v>0</v>
      </c>
      <c r="S37">
        <v>1</v>
      </c>
      <c r="T37">
        <v>1</v>
      </c>
      <c r="U37">
        <v>1</v>
      </c>
      <c r="V37">
        <v>0</v>
      </c>
      <c r="X37" t="s">
        <v>27</v>
      </c>
    </row>
    <row r="38" spans="1:24" x14ac:dyDescent="0.3">
      <c r="A38" t="s">
        <v>22</v>
      </c>
      <c r="B38" t="s">
        <v>28</v>
      </c>
      <c r="C38" t="s">
        <v>81</v>
      </c>
      <c r="D38">
        <v>1</v>
      </c>
      <c r="E38" t="s">
        <v>100</v>
      </c>
      <c r="F38" t="s">
        <v>31</v>
      </c>
      <c r="H38">
        <v>780</v>
      </c>
      <c r="I38" t="s">
        <v>109</v>
      </c>
      <c r="J38" t="s">
        <v>602</v>
      </c>
      <c r="L38">
        <v>30</v>
      </c>
      <c r="M38" t="s">
        <v>25</v>
      </c>
      <c r="N38">
        <v>0</v>
      </c>
      <c r="O38">
        <v>30</v>
      </c>
      <c r="P38">
        <v>30</v>
      </c>
      <c r="Q38">
        <v>3</v>
      </c>
      <c r="R38">
        <v>0</v>
      </c>
      <c r="S38">
        <v>10</v>
      </c>
      <c r="T38">
        <v>10</v>
      </c>
      <c r="U38">
        <v>10</v>
      </c>
      <c r="V38">
        <v>0</v>
      </c>
      <c r="W38" t="s">
        <v>108</v>
      </c>
      <c r="X38" t="s">
        <v>27</v>
      </c>
    </row>
    <row r="39" spans="1:24" x14ac:dyDescent="0.3">
      <c r="A39" t="s">
        <v>22</v>
      </c>
      <c r="B39" t="s">
        <v>28</v>
      </c>
      <c r="C39" t="s">
        <v>81</v>
      </c>
      <c r="D39">
        <v>2</v>
      </c>
      <c r="E39" t="s">
        <v>100</v>
      </c>
      <c r="F39" t="s">
        <v>103</v>
      </c>
      <c r="I39" t="s">
        <v>110</v>
      </c>
      <c r="J39" t="s">
        <v>607</v>
      </c>
      <c r="L39">
        <v>3</v>
      </c>
      <c r="M39" t="s">
        <v>25</v>
      </c>
      <c r="N39">
        <v>0</v>
      </c>
      <c r="O39">
        <v>3</v>
      </c>
      <c r="P39">
        <v>3</v>
      </c>
      <c r="Q39">
        <v>3</v>
      </c>
      <c r="R39">
        <v>0</v>
      </c>
      <c r="S39">
        <v>1</v>
      </c>
      <c r="T39">
        <v>1</v>
      </c>
      <c r="U39">
        <v>1</v>
      </c>
      <c r="V39">
        <v>0</v>
      </c>
      <c r="X39" t="s">
        <v>67</v>
      </c>
    </row>
    <row r="40" spans="1:24" x14ac:dyDescent="0.3">
      <c r="A40" t="s">
        <v>22</v>
      </c>
      <c r="B40" t="s">
        <v>28</v>
      </c>
      <c r="C40" t="s">
        <v>81</v>
      </c>
      <c r="D40">
        <v>3</v>
      </c>
      <c r="E40" t="s">
        <v>100</v>
      </c>
      <c r="F40" t="s">
        <v>105</v>
      </c>
      <c r="I40" t="s">
        <v>111</v>
      </c>
      <c r="J40" t="s">
        <v>608</v>
      </c>
      <c r="L40">
        <v>1.5</v>
      </c>
      <c r="M40" t="s">
        <v>25</v>
      </c>
      <c r="N40">
        <v>0</v>
      </c>
      <c r="O40">
        <v>1.5</v>
      </c>
      <c r="P40">
        <v>1.5</v>
      </c>
      <c r="Q40">
        <v>3</v>
      </c>
      <c r="R40">
        <v>0</v>
      </c>
      <c r="S40">
        <v>0.5</v>
      </c>
      <c r="T40">
        <v>0.5</v>
      </c>
      <c r="U40">
        <v>0.5</v>
      </c>
      <c r="V40">
        <v>0</v>
      </c>
      <c r="X40" t="s">
        <v>67</v>
      </c>
    </row>
    <row r="41" spans="1:24" x14ac:dyDescent="0.3">
      <c r="A41" t="s">
        <v>22</v>
      </c>
      <c r="B41" t="s">
        <v>28</v>
      </c>
      <c r="C41" t="s">
        <v>81</v>
      </c>
      <c r="D41">
        <v>4</v>
      </c>
      <c r="E41" t="s">
        <v>100</v>
      </c>
      <c r="F41" t="s">
        <v>19</v>
      </c>
      <c r="I41" t="s">
        <v>110</v>
      </c>
      <c r="J41" t="s">
        <v>607</v>
      </c>
      <c r="L41">
        <v>3</v>
      </c>
      <c r="M41" t="s">
        <v>25</v>
      </c>
      <c r="N41">
        <v>0</v>
      </c>
      <c r="O41">
        <v>3</v>
      </c>
      <c r="P41">
        <v>3</v>
      </c>
      <c r="Q41">
        <v>3</v>
      </c>
      <c r="R41">
        <v>0</v>
      </c>
      <c r="S41">
        <v>1</v>
      </c>
      <c r="T41">
        <v>1</v>
      </c>
      <c r="U41">
        <v>1</v>
      </c>
      <c r="V41">
        <v>0</v>
      </c>
      <c r="X41" t="s">
        <v>27</v>
      </c>
    </row>
    <row r="42" spans="1:24" x14ac:dyDescent="0.3">
      <c r="A42" t="s">
        <v>22</v>
      </c>
      <c r="B42" t="s">
        <v>28</v>
      </c>
      <c r="C42" t="s">
        <v>81</v>
      </c>
      <c r="D42">
        <v>5</v>
      </c>
      <c r="E42" t="s">
        <v>112</v>
      </c>
      <c r="F42" t="s">
        <v>55</v>
      </c>
      <c r="I42" t="s">
        <v>113</v>
      </c>
      <c r="J42" t="s">
        <v>609</v>
      </c>
      <c r="L42">
        <v>3</v>
      </c>
      <c r="M42" t="s">
        <v>25</v>
      </c>
      <c r="N42">
        <v>0</v>
      </c>
      <c r="O42">
        <v>3</v>
      </c>
      <c r="P42">
        <v>3</v>
      </c>
      <c r="Q42">
        <v>3</v>
      </c>
      <c r="R42">
        <v>0</v>
      </c>
      <c r="S42">
        <v>1</v>
      </c>
      <c r="T42">
        <v>1</v>
      </c>
      <c r="U42">
        <v>1</v>
      </c>
      <c r="V42">
        <v>0</v>
      </c>
      <c r="X42" t="s">
        <v>27</v>
      </c>
    </row>
    <row r="43" spans="1:24" x14ac:dyDescent="0.3">
      <c r="A43" t="s">
        <v>22</v>
      </c>
      <c r="B43" t="s">
        <v>28</v>
      </c>
      <c r="C43" t="s">
        <v>114</v>
      </c>
      <c r="D43">
        <v>1</v>
      </c>
      <c r="E43" t="s">
        <v>115</v>
      </c>
      <c r="F43" t="s">
        <v>116</v>
      </c>
      <c r="J43" t="s">
        <v>214</v>
      </c>
      <c r="L43">
        <v>6</v>
      </c>
      <c r="M43" t="s">
        <v>115</v>
      </c>
      <c r="N43">
        <v>6</v>
      </c>
      <c r="O43">
        <v>0</v>
      </c>
      <c r="P43">
        <v>6</v>
      </c>
      <c r="Q43">
        <v>3</v>
      </c>
      <c r="R43">
        <v>0</v>
      </c>
      <c r="S43">
        <v>2</v>
      </c>
      <c r="T43">
        <v>2</v>
      </c>
      <c r="U43">
        <v>2</v>
      </c>
      <c r="V43">
        <v>0</v>
      </c>
      <c r="W43" t="s">
        <v>56</v>
      </c>
    </row>
    <row r="44" spans="1:24" x14ac:dyDescent="0.3">
      <c r="A44" t="s">
        <v>22</v>
      </c>
      <c r="B44" t="s">
        <v>28</v>
      </c>
      <c r="C44" t="s">
        <v>114</v>
      </c>
      <c r="D44">
        <v>2</v>
      </c>
      <c r="E44" t="s">
        <v>115</v>
      </c>
      <c r="F44" t="s">
        <v>117</v>
      </c>
      <c r="J44" t="s">
        <v>374</v>
      </c>
      <c r="L44">
        <v>4</v>
      </c>
      <c r="M44" t="s">
        <v>115</v>
      </c>
      <c r="N44">
        <v>4</v>
      </c>
      <c r="O44">
        <v>0</v>
      </c>
      <c r="P44">
        <v>4</v>
      </c>
      <c r="Q44">
        <v>3</v>
      </c>
      <c r="R44">
        <v>0</v>
      </c>
      <c r="S44">
        <v>1.33</v>
      </c>
      <c r="T44">
        <v>1.33</v>
      </c>
      <c r="U44">
        <v>1.34</v>
      </c>
      <c r="V44">
        <v>0</v>
      </c>
      <c r="W44" t="s">
        <v>56</v>
      </c>
    </row>
    <row r="45" spans="1:24" x14ac:dyDescent="0.3">
      <c r="A45" t="s">
        <v>22</v>
      </c>
      <c r="B45" t="s">
        <v>28</v>
      </c>
      <c r="C45" t="s">
        <v>114</v>
      </c>
      <c r="D45">
        <v>3</v>
      </c>
      <c r="E45" t="s">
        <v>115</v>
      </c>
      <c r="F45" t="s">
        <v>118</v>
      </c>
      <c r="J45" t="s">
        <v>236</v>
      </c>
      <c r="L45">
        <v>1</v>
      </c>
      <c r="M45" t="s">
        <v>115</v>
      </c>
      <c r="N45">
        <v>1</v>
      </c>
      <c r="O45">
        <v>0</v>
      </c>
      <c r="P45">
        <v>1</v>
      </c>
      <c r="Q45">
        <v>1</v>
      </c>
      <c r="R45">
        <v>1</v>
      </c>
      <c r="S45">
        <v>0</v>
      </c>
      <c r="T45">
        <v>0</v>
      </c>
      <c r="U45">
        <v>0</v>
      </c>
      <c r="V45">
        <v>0</v>
      </c>
      <c r="W45" t="s">
        <v>26</v>
      </c>
    </row>
    <row r="46" spans="1:24" x14ac:dyDescent="0.3">
      <c r="A46" t="s">
        <v>22</v>
      </c>
      <c r="B46" t="s">
        <v>28</v>
      </c>
      <c r="C46" t="s">
        <v>114</v>
      </c>
      <c r="D46">
        <v>4</v>
      </c>
      <c r="E46" t="s">
        <v>115</v>
      </c>
      <c r="F46" t="s">
        <v>119</v>
      </c>
      <c r="J46" t="s">
        <v>227</v>
      </c>
      <c r="L46">
        <v>3</v>
      </c>
      <c r="M46" t="s">
        <v>115</v>
      </c>
      <c r="N46">
        <v>3</v>
      </c>
      <c r="O46">
        <v>0</v>
      </c>
      <c r="P46">
        <v>3</v>
      </c>
      <c r="Q46">
        <v>3</v>
      </c>
      <c r="R46">
        <v>0</v>
      </c>
      <c r="S46">
        <v>1</v>
      </c>
      <c r="T46">
        <v>1</v>
      </c>
      <c r="U46">
        <v>1</v>
      </c>
      <c r="V46">
        <v>0</v>
      </c>
      <c r="W46" t="s">
        <v>56</v>
      </c>
    </row>
    <row r="47" spans="1:24" x14ac:dyDescent="0.3">
      <c r="A47" t="s">
        <v>22</v>
      </c>
      <c r="B47" t="s">
        <v>28</v>
      </c>
      <c r="C47" t="s">
        <v>114</v>
      </c>
      <c r="D47">
        <v>5</v>
      </c>
      <c r="E47" t="s">
        <v>115</v>
      </c>
      <c r="F47" t="s">
        <v>120</v>
      </c>
      <c r="J47" t="s">
        <v>610</v>
      </c>
      <c r="L47">
        <v>4</v>
      </c>
      <c r="M47" t="s">
        <v>115</v>
      </c>
      <c r="N47">
        <v>4</v>
      </c>
      <c r="O47">
        <v>0</v>
      </c>
      <c r="P47">
        <v>4</v>
      </c>
      <c r="Q47">
        <v>3</v>
      </c>
      <c r="R47">
        <v>0</v>
      </c>
      <c r="S47">
        <v>1.33</v>
      </c>
      <c r="T47">
        <v>1.33</v>
      </c>
      <c r="U47">
        <v>1.34</v>
      </c>
      <c r="V47">
        <v>0</v>
      </c>
      <c r="W47" t="s">
        <v>56</v>
      </c>
    </row>
    <row r="48" spans="1:24" x14ac:dyDescent="0.3">
      <c r="A48" t="s">
        <v>22</v>
      </c>
      <c r="B48" t="s">
        <v>28</v>
      </c>
      <c r="C48" t="s">
        <v>114</v>
      </c>
      <c r="D48">
        <v>6</v>
      </c>
      <c r="E48" t="s">
        <v>115</v>
      </c>
      <c r="F48" t="s">
        <v>121</v>
      </c>
      <c r="J48" t="s">
        <v>305</v>
      </c>
      <c r="L48">
        <v>2</v>
      </c>
      <c r="M48" t="s">
        <v>115</v>
      </c>
      <c r="N48">
        <v>2</v>
      </c>
      <c r="O48">
        <v>0</v>
      </c>
      <c r="P48">
        <v>2</v>
      </c>
      <c r="Q48">
        <v>1</v>
      </c>
      <c r="R48">
        <v>2</v>
      </c>
      <c r="S48">
        <v>0</v>
      </c>
      <c r="T48">
        <v>0</v>
      </c>
      <c r="U48">
        <v>0</v>
      </c>
      <c r="V48">
        <v>0</v>
      </c>
      <c r="W48" t="s">
        <v>26</v>
      </c>
    </row>
    <row r="49" spans="1:24" x14ac:dyDescent="0.3">
      <c r="A49" t="s">
        <v>22</v>
      </c>
      <c r="B49" t="s">
        <v>28</v>
      </c>
      <c r="C49" t="s">
        <v>114</v>
      </c>
      <c r="D49">
        <v>7</v>
      </c>
      <c r="E49" t="s">
        <v>115</v>
      </c>
      <c r="F49" t="s">
        <v>122</v>
      </c>
      <c r="J49" t="s">
        <v>227</v>
      </c>
      <c r="L49">
        <v>3</v>
      </c>
      <c r="M49" t="s">
        <v>115</v>
      </c>
      <c r="N49">
        <v>3</v>
      </c>
      <c r="O49">
        <v>0</v>
      </c>
      <c r="P49">
        <v>3</v>
      </c>
      <c r="Q49">
        <v>3</v>
      </c>
      <c r="R49">
        <v>0</v>
      </c>
      <c r="S49">
        <v>1</v>
      </c>
      <c r="T49">
        <v>1</v>
      </c>
      <c r="U49">
        <v>1</v>
      </c>
      <c r="V49">
        <v>0</v>
      </c>
      <c r="W49" t="s">
        <v>56</v>
      </c>
    </row>
    <row r="50" spans="1:24" x14ac:dyDescent="0.3">
      <c r="A50" t="s">
        <v>22</v>
      </c>
      <c r="B50" t="s">
        <v>28</v>
      </c>
      <c r="C50" t="s">
        <v>114</v>
      </c>
      <c r="D50">
        <v>8</v>
      </c>
      <c r="E50" t="s">
        <v>115</v>
      </c>
      <c r="F50" t="s">
        <v>123</v>
      </c>
      <c r="J50" t="s">
        <v>305</v>
      </c>
      <c r="L50">
        <v>2</v>
      </c>
      <c r="M50" t="s">
        <v>115</v>
      </c>
      <c r="N50">
        <v>2</v>
      </c>
      <c r="O50">
        <v>0</v>
      </c>
      <c r="P50">
        <v>2</v>
      </c>
      <c r="Q50">
        <v>1</v>
      </c>
      <c r="R50">
        <v>2</v>
      </c>
      <c r="S50">
        <v>0</v>
      </c>
      <c r="T50">
        <v>0</v>
      </c>
      <c r="U50">
        <v>0</v>
      </c>
      <c r="V50">
        <v>0</v>
      </c>
      <c r="W50" t="s">
        <v>26</v>
      </c>
    </row>
    <row r="51" spans="1:24" x14ac:dyDescent="0.3">
      <c r="A51" t="s">
        <v>22</v>
      </c>
      <c r="B51" t="s">
        <v>28</v>
      </c>
      <c r="C51" t="s">
        <v>114</v>
      </c>
      <c r="D51">
        <v>9</v>
      </c>
      <c r="E51" t="s">
        <v>115</v>
      </c>
      <c r="F51" t="s">
        <v>124</v>
      </c>
      <c r="J51" t="s">
        <v>236</v>
      </c>
      <c r="L51">
        <v>1</v>
      </c>
      <c r="M51" t="s">
        <v>115</v>
      </c>
      <c r="N51">
        <v>1</v>
      </c>
      <c r="O51">
        <v>0</v>
      </c>
      <c r="P51">
        <v>1</v>
      </c>
      <c r="Q51">
        <v>1</v>
      </c>
      <c r="R51">
        <v>1</v>
      </c>
      <c r="S51">
        <v>0</v>
      </c>
      <c r="T51">
        <v>0</v>
      </c>
      <c r="U51">
        <v>0</v>
      </c>
      <c r="V51">
        <v>0</v>
      </c>
      <c r="W51" t="s">
        <v>26</v>
      </c>
    </row>
    <row r="52" spans="1:24" x14ac:dyDescent="0.3">
      <c r="A52" t="s">
        <v>22</v>
      </c>
      <c r="B52" t="s">
        <v>28</v>
      </c>
      <c r="C52" t="s">
        <v>114</v>
      </c>
      <c r="D52">
        <v>10</v>
      </c>
      <c r="E52" t="s">
        <v>115</v>
      </c>
      <c r="F52" t="s">
        <v>125</v>
      </c>
      <c r="J52" t="s">
        <v>305</v>
      </c>
      <c r="L52">
        <v>2</v>
      </c>
      <c r="M52" t="s">
        <v>115</v>
      </c>
      <c r="N52">
        <v>2</v>
      </c>
      <c r="O52">
        <v>0</v>
      </c>
      <c r="P52">
        <v>2</v>
      </c>
      <c r="Q52">
        <v>1</v>
      </c>
      <c r="R52">
        <v>2</v>
      </c>
      <c r="S52">
        <v>0</v>
      </c>
      <c r="T52">
        <v>0</v>
      </c>
      <c r="U52">
        <v>0</v>
      </c>
      <c r="V52">
        <v>0</v>
      </c>
      <c r="W52" t="s">
        <v>26</v>
      </c>
    </row>
    <row r="53" spans="1:24" x14ac:dyDescent="0.3">
      <c r="A53" t="s">
        <v>22</v>
      </c>
      <c r="B53" t="s">
        <v>28</v>
      </c>
      <c r="C53" t="s">
        <v>639</v>
      </c>
      <c r="D53">
        <v>1</v>
      </c>
      <c r="E53" t="s">
        <v>368</v>
      </c>
      <c r="F53" t="s">
        <v>368</v>
      </c>
      <c r="J53" t="s">
        <v>642</v>
      </c>
      <c r="L53">
        <v>46</v>
      </c>
      <c r="N53">
        <v>0</v>
      </c>
      <c r="O53">
        <v>46</v>
      </c>
      <c r="P53">
        <v>46</v>
      </c>
    </row>
    <row r="54" spans="1:24" x14ac:dyDescent="0.3">
      <c r="A54" t="s">
        <v>22</v>
      </c>
      <c r="B54" t="s">
        <v>28</v>
      </c>
      <c r="C54" t="s">
        <v>640</v>
      </c>
      <c r="D54">
        <v>1</v>
      </c>
      <c r="E54" t="s">
        <v>641</v>
      </c>
      <c r="F54" t="s">
        <v>641</v>
      </c>
      <c r="J54" t="s">
        <v>643</v>
      </c>
      <c r="L54">
        <v>11</v>
      </c>
      <c r="N54">
        <v>0</v>
      </c>
      <c r="O54">
        <v>11</v>
      </c>
      <c r="P54">
        <v>11</v>
      </c>
    </row>
    <row r="55" spans="1:24" x14ac:dyDescent="0.3">
      <c r="A55" t="s">
        <v>22</v>
      </c>
      <c r="B55" t="s">
        <v>126</v>
      </c>
      <c r="C55" t="s">
        <v>127</v>
      </c>
      <c r="D55">
        <v>1</v>
      </c>
      <c r="E55" t="s">
        <v>128</v>
      </c>
      <c r="F55" t="s">
        <v>31</v>
      </c>
      <c r="G55">
        <v>2</v>
      </c>
      <c r="I55" t="s">
        <v>130</v>
      </c>
      <c r="J55" t="s">
        <v>131</v>
      </c>
      <c r="L55">
        <v>12</v>
      </c>
      <c r="M55" t="s">
        <v>62</v>
      </c>
      <c r="N55">
        <v>10</v>
      </c>
      <c r="O55">
        <v>2</v>
      </c>
      <c r="P55">
        <v>12</v>
      </c>
      <c r="Q55">
        <v>3</v>
      </c>
      <c r="R55">
        <v>0</v>
      </c>
      <c r="S55">
        <v>4</v>
      </c>
      <c r="T55">
        <v>4</v>
      </c>
      <c r="U55">
        <v>4</v>
      </c>
      <c r="V55">
        <v>0</v>
      </c>
      <c r="W55" t="s">
        <v>129</v>
      </c>
      <c r="X55" t="s">
        <v>27</v>
      </c>
    </row>
    <row r="56" spans="1:24" x14ac:dyDescent="0.3">
      <c r="A56" t="s">
        <v>22</v>
      </c>
      <c r="B56" t="s">
        <v>126</v>
      </c>
      <c r="C56" t="s">
        <v>127</v>
      </c>
      <c r="D56">
        <v>2</v>
      </c>
      <c r="E56" t="s">
        <v>132</v>
      </c>
      <c r="F56" t="s">
        <v>31</v>
      </c>
      <c r="G56">
        <v>13</v>
      </c>
      <c r="I56" t="s">
        <v>134</v>
      </c>
      <c r="J56" t="s">
        <v>616</v>
      </c>
      <c r="L56">
        <v>3</v>
      </c>
      <c r="M56" t="s">
        <v>25</v>
      </c>
      <c r="N56">
        <v>0</v>
      </c>
      <c r="O56">
        <v>3</v>
      </c>
      <c r="P56">
        <v>3</v>
      </c>
      <c r="Q56">
        <v>3</v>
      </c>
      <c r="R56">
        <v>0</v>
      </c>
      <c r="S56">
        <v>1</v>
      </c>
      <c r="T56">
        <v>1</v>
      </c>
      <c r="U56">
        <v>1</v>
      </c>
      <c r="V56">
        <v>0</v>
      </c>
      <c r="W56" t="s">
        <v>133</v>
      </c>
      <c r="X56" t="s">
        <v>27</v>
      </c>
    </row>
    <row r="57" spans="1:24" x14ac:dyDescent="0.3">
      <c r="A57" t="s">
        <v>22</v>
      </c>
      <c r="B57" t="s">
        <v>126</v>
      </c>
      <c r="C57" t="s">
        <v>127</v>
      </c>
      <c r="D57">
        <v>3</v>
      </c>
      <c r="E57" t="s">
        <v>135</v>
      </c>
      <c r="F57" t="s">
        <v>31</v>
      </c>
      <c r="G57">
        <v>6</v>
      </c>
      <c r="I57" t="s">
        <v>137</v>
      </c>
      <c r="J57" t="s">
        <v>138</v>
      </c>
      <c r="L57">
        <v>3</v>
      </c>
      <c r="M57" t="s">
        <v>25</v>
      </c>
      <c r="N57">
        <v>0</v>
      </c>
      <c r="O57">
        <v>3</v>
      </c>
      <c r="P57">
        <v>3</v>
      </c>
      <c r="Q57">
        <v>3</v>
      </c>
      <c r="R57">
        <v>0</v>
      </c>
      <c r="S57">
        <v>1</v>
      </c>
      <c r="T57">
        <v>1</v>
      </c>
      <c r="U57">
        <v>1</v>
      </c>
      <c r="V57">
        <v>0</v>
      </c>
      <c r="W57" t="s">
        <v>136</v>
      </c>
      <c r="X57" t="s">
        <v>27</v>
      </c>
    </row>
    <row r="58" spans="1:24" x14ac:dyDescent="0.3">
      <c r="A58" t="s">
        <v>22</v>
      </c>
      <c r="B58" t="s">
        <v>126</v>
      </c>
      <c r="C58" t="s">
        <v>127</v>
      </c>
      <c r="D58">
        <v>4</v>
      </c>
      <c r="E58" t="s">
        <v>43</v>
      </c>
      <c r="F58" t="s">
        <v>31</v>
      </c>
      <c r="G58">
        <v>7</v>
      </c>
      <c r="I58" t="s">
        <v>140</v>
      </c>
      <c r="J58" t="s">
        <v>141</v>
      </c>
      <c r="L58">
        <v>6</v>
      </c>
      <c r="M58" t="s">
        <v>25</v>
      </c>
      <c r="N58">
        <v>0</v>
      </c>
      <c r="O58">
        <v>6</v>
      </c>
      <c r="P58">
        <v>6</v>
      </c>
      <c r="Q58">
        <v>3</v>
      </c>
      <c r="R58">
        <v>0</v>
      </c>
      <c r="S58">
        <v>2</v>
      </c>
      <c r="T58">
        <v>2</v>
      </c>
      <c r="U58">
        <v>2</v>
      </c>
      <c r="V58">
        <v>0</v>
      </c>
      <c r="W58" t="s">
        <v>139</v>
      </c>
      <c r="X58" t="s">
        <v>27</v>
      </c>
    </row>
    <row r="59" spans="1:24" x14ac:dyDescent="0.3">
      <c r="A59" t="s">
        <v>22</v>
      </c>
      <c r="B59" t="s">
        <v>126</v>
      </c>
      <c r="C59" t="s">
        <v>142</v>
      </c>
      <c r="D59">
        <v>5</v>
      </c>
      <c r="E59" t="s">
        <v>143</v>
      </c>
      <c r="F59" t="s">
        <v>31</v>
      </c>
      <c r="I59" t="s">
        <v>140</v>
      </c>
      <c r="J59" t="s">
        <v>305</v>
      </c>
      <c r="L59">
        <v>2</v>
      </c>
      <c r="M59" t="s">
        <v>25</v>
      </c>
      <c r="N59">
        <v>0</v>
      </c>
      <c r="O59">
        <v>2</v>
      </c>
      <c r="P59">
        <v>2</v>
      </c>
      <c r="Q59">
        <v>3</v>
      </c>
      <c r="R59">
        <v>0</v>
      </c>
      <c r="S59">
        <v>0.67</v>
      </c>
      <c r="T59">
        <v>0.67</v>
      </c>
      <c r="U59">
        <v>0.66</v>
      </c>
      <c r="V59">
        <v>0</v>
      </c>
      <c r="X59" t="s">
        <v>27</v>
      </c>
    </row>
    <row r="60" spans="1:24" x14ac:dyDescent="0.3">
      <c r="A60" t="s">
        <v>22</v>
      </c>
      <c r="B60" t="s">
        <v>126</v>
      </c>
      <c r="C60" t="s">
        <v>142</v>
      </c>
      <c r="D60">
        <v>6</v>
      </c>
      <c r="E60" t="s">
        <v>144</v>
      </c>
      <c r="F60" t="s">
        <v>31</v>
      </c>
      <c r="I60" t="s">
        <v>145</v>
      </c>
      <c r="J60" t="s">
        <v>227</v>
      </c>
      <c r="L60">
        <v>3</v>
      </c>
      <c r="M60" t="s">
        <v>25</v>
      </c>
      <c r="N60">
        <v>0</v>
      </c>
      <c r="O60">
        <v>3</v>
      </c>
      <c r="P60">
        <v>3</v>
      </c>
      <c r="Q60">
        <v>3</v>
      </c>
      <c r="R60">
        <v>0</v>
      </c>
      <c r="S60">
        <v>1</v>
      </c>
      <c r="T60">
        <v>1</v>
      </c>
      <c r="U60">
        <v>1</v>
      </c>
      <c r="V60">
        <v>0</v>
      </c>
      <c r="X60" t="s">
        <v>27</v>
      </c>
    </row>
    <row r="61" spans="1:24" x14ac:dyDescent="0.3">
      <c r="A61" t="s">
        <v>22</v>
      </c>
      <c r="B61" t="s">
        <v>126</v>
      </c>
      <c r="C61" t="s">
        <v>126</v>
      </c>
      <c r="D61">
        <v>7</v>
      </c>
      <c r="E61" t="s">
        <v>146</v>
      </c>
      <c r="F61" t="s">
        <v>31</v>
      </c>
      <c r="H61">
        <v>2952</v>
      </c>
      <c r="I61" t="s">
        <v>148</v>
      </c>
      <c r="J61" t="s">
        <v>617</v>
      </c>
      <c r="L61">
        <v>6</v>
      </c>
      <c r="M61" t="s">
        <v>25</v>
      </c>
      <c r="N61">
        <v>0</v>
      </c>
      <c r="O61">
        <v>6</v>
      </c>
      <c r="P61">
        <v>6</v>
      </c>
      <c r="Q61">
        <v>3</v>
      </c>
      <c r="R61">
        <v>0</v>
      </c>
      <c r="S61">
        <v>2</v>
      </c>
      <c r="T61">
        <v>2</v>
      </c>
      <c r="U61">
        <v>2</v>
      </c>
      <c r="V61">
        <v>0</v>
      </c>
      <c r="W61" t="s">
        <v>147</v>
      </c>
      <c r="X61" t="s">
        <v>27</v>
      </c>
    </row>
    <row r="62" spans="1:24" x14ac:dyDescent="0.3">
      <c r="A62" t="s">
        <v>22</v>
      </c>
      <c r="B62" t="s">
        <v>126</v>
      </c>
      <c r="C62" t="s">
        <v>126</v>
      </c>
      <c r="D62">
        <v>8</v>
      </c>
      <c r="E62" t="s">
        <v>146</v>
      </c>
      <c r="F62" t="s">
        <v>50</v>
      </c>
      <c r="I62" t="s">
        <v>149</v>
      </c>
      <c r="J62" t="s">
        <v>617</v>
      </c>
      <c r="L62">
        <v>6</v>
      </c>
      <c r="M62" t="s">
        <v>25</v>
      </c>
      <c r="N62">
        <v>0</v>
      </c>
      <c r="O62">
        <v>6</v>
      </c>
      <c r="P62">
        <v>6</v>
      </c>
      <c r="Q62">
        <v>3</v>
      </c>
      <c r="R62">
        <v>0</v>
      </c>
      <c r="S62">
        <v>2</v>
      </c>
      <c r="T62">
        <v>2</v>
      </c>
      <c r="U62">
        <v>2</v>
      </c>
      <c r="V62">
        <v>0</v>
      </c>
      <c r="X62" t="s">
        <v>27</v>
      </c>
    </row>
    <row r="63" spans="1:24" x14ac:dyDescent="0.3">
      <c r="A63" t="s">
        <v>22</v>
      </c>
      <c r="B63" t="s">
        <v>126</v>
      </c>
      <c r="C63" t="s">
        <v>613</v>
      </c>
      <c r="D63">
        <v>9</v>
      </c>
      <c r="E63" t="s">
        <v>613</v>
      </c>
      <c r="F63" t="s">
        <v>613</v>
      </c>
      <c r="L63">
        <v>3</v>
      </c>
      <c r="N63">
        <v>0</v>
      </c>
      <c r="O63">
        <v>3</v>
      </c>
      <c r="P63">
        <v>3</v>
      </c>
      <c r="Q63">
        <v>3</v>
      </c>
      <c r="R63">
        <v>0</v>
      </c>
      <c r="S63">
        <v>1</v>
      </c>
      <c r="T63">
        <v>1</v>
      </c>
      <c r="U63">
        <v>1</v>
      </c>
      <c r="V63">
        <v>0</v>
      </c>
    </row>
    <row r="64" spans="1:24" x14ac:dyDescent="0.3">
      <c r="A64" t="s">
        <v>22</v>
      </c>
      <c r="B64" t="s">
        <v>126</v>
      </c>
      <c r="C64" t="s">
        <v>614</v>
      </c>
      <c r="D64">
        <v>10</v>
      </c>
      <c r="E64" t="s">
        <v>614</v>
      </c>
      <c r="F64" t="s">
        <v>614</v>
      </c>
      <c r="L64">
        <v>14</v>
      </c>
      <c r="N64">
        <v>0</v>
      </c>
      <c r="O64">
        <v>14</v>
      </c>
      <c r="P64">
        <v>14</v>
      </c>
      <c r="Q64">
        <v>3</v>
      </c>
      <c r="R64">
        <v>0</v>
      </c>
      <c r="S64">
        <v>5</v>
      </c>
      <c r="T64">
        <v>5</v>
      </c>
      <c r="U64">
        <v>4</v>
      </c>
      <c r="V64">
        <v>0</v>
      </c>
    </row>
    <row r="65" spans="1:24" x14ac:dyDescent="0.3">
      <c r="A65" t="s">
        <v>22</v>
      </c>
      <c r="B65" t="s">
        <v>126</v>
      </c>
      <c r="C65" t="s">
        <v>615</v>
      </c>
      <c r="D65">
        <v>11</v>
      </c>
      <c r="E65" t="s">
        <v>615</v>
      </c>
      <c r="F65" t="s">
        <v>615</v>
      </c>
      <c r="L65">
        <v>3</v>
      </c>
      <c r="N65">
        <v>0</v>
      </c>
      <c r="O65">
        <v>3</v>
      </c>
      <c r="P65">
        <v>3</v>
      </c>
      <c r="Q65">
        <v>3</v>
      </c>
      <c r="R65">
        <v>0</v>
      </c>
      <c r="S65">
        <v>1</v>
      </c>
      <c r="T65">
        <v>1</v>
      </c>
      <c r="U65">
        <v>1</v>
      </c>
      <c r="V65">
        <v>0</v>
      </c>
    </row>
    <row r="66" spans="1:24" x14ac:dyDescent="0.3">
      <c r="A66" t="s">
        <v>22</v>
      </c>
      <c r="B66" t="s">
        <v>28</v>
      </c>
      <c r="C66" t="s">
        <v>150</v>
      </c>
      <c r="D66">
        <v>1</v>
      </c>
      <c r="E66" t="s">
        <v>618</v>
      </c>
      <c r="F66" t="s">
        <v>151</v>
      </c>
      <c r="I66" t="s">
        <v>619</v>
      </c>
      <c r="J66" t="s">
        <v>305</v>
      </c>
      <c r="L66">
        <v>2</v>
      </c>
      <c r="M66" t="s">
        <v>25</v>
      </c>
      <c r="N66">
        <v>0</v>
      </c>
      <c r="O66">
        <v>2</v>
      </c>
      <c r="P66">
        <v>2</v>
      </c>
      <c r="Q66">
        <v>1</v>
      </c>
      <c r="R66">
        <v>2</v>
      </c>
      <c r="S66">
        <v>0</v>
      </c>
      <c r="T66">
        <v>0</v>
      </c>
      <c r="U66">
        <v>0</v>
      </c>
      <c r="V66">
        <v>0</v>
      </c>
      <c r="W66" t="s">
        <v>26</v>
      </c>
      <c r="X66" t="s">
        <v>152</v>
      </c>
    </row>
    <row r="67" spans="1:24" x14ac:dyDescent="0.3">
      <c r="A67" t="s">
        <v>22</v>
      </c>
      <c r="B67" t="s">
        <v>28</v>
      </c>
      <c r="C67" t="s">
        <v>150</v>
      </c>
      <c r="D67">
        <v>2</v>
      </c>
      <c r="E67" t="s">
        <v>30</v>
      </c>
      <c r="F67" t="s">
        <v>31</v>
      </c>
      <c r="H67">
        <v>8</v>
      </c>
      <c r="I67" t="s">
        <v>154</v>
      </c>
      <c r="J67" t="s">
        <v>620</v>
      </c>
      <c r="L67">
        <v>12</v>
      </c>
      <c r="M67" t="s">
        <v>25</v>
      </c>
      <c r="N67">
        <v>0</v>
      </c>
      <c r="O67">
        <v>12</v>
      </c>
      <c r="P67">
        <v>12</v>
      </c>
      <c r="Q67">
        <v>3</v>
      </c>
      <c r="R67">
        <v>0</v>
      </c>
      <c r="S67">
        <v>4</v>
      </c>
      <c r="T67">
        <v>4</v>
      </c>
      <c r="U67">
        <v>4</v>
      </c>
      <c r="V67">
        <v>0</v>
      </c>
      <c r="W67" t="s">
        <v>153</v>
      </c>
      <c r="X67" t="s">
        <v>27</v>
      </c>
    </row>
    <row r="68" spans="1:24" x14ac:dyDescent="0.3">
      <c r="A68" t="s">
        <v>22</v>
      </c>
      <c r="B68" t="s">
        <v>28</v>
      </c>
      <c r="C68" t="s">
        <v>150</v>
      </c>
      <c r="D68">
        <v>3</v>
      </c>
      <c r="E68" t="s">
        <v>132</v>
      </c>
      <c r="F68" t="s">
        <v>31</v>
      </c>
      <c r="G68">
        <v>56</v>
      </c>
      <c r="I68" t="s">
        <v>155</v>
      </c>
      <c r="J68" t="s">
        <v>156</v>
      </c>
      <c r="L68">
        <v>6</v>
      </c>
      <c r="M68" t="s">
        <v>25</v>
      </c>
      <c r="N68">
        <v>0</v>
      </c>
      <c r="O68">
        <v>6</v>
      </c>
      <c r="P68">
        <v>6</v>
      </c>
      <c r="Q68">
        <v>3</v>
      </c>
      <c r="R68">
        <v>0</v>
      </c>
      <c r="S68">
        <v>2</v>
      </c>
      <c r="T68">
        <v>2</v>
      </c>
      <c r="U68">
        <v>2</v>
      </c>
      <c r="V68">
        <v>0</v>
      </c>
      <c r="X68" t="s">
        <v>27</v>
      </c>
    </row>
    <row r="69" spans="1:24" x14ac:dyDescent="0.3">
      <c r="A69" t="s">
        <v>22</v>
      </c>
      <c r="B69" t="s">
        <v>28</v>
      </c>
      <c r="C69" t="s">
        <v>150</v>
      </c>
      <c r="D69">
        <v>4</v>
      </c>
      <c r="E69" t="s">
        <v>157</v>
      </c>
      <c r="F69" t="s">
        <v>31</v>
      </c>
      <c r="G69">
        <v>17</v>
      </c>
      <c r="I69" t="s">
        <v>158</v>
      </c>
      <c r="J69" t="s">
        <v>159</v>
      </c>
      <c r="L69">
        <v>15</v>
      </c>
      <c r="M69" t="s">
        <v>25</v>
      </c>
      <c r="N69">
        <v>0</v>
      </c>
      <c r="O69">
        <v>15</v>
      </c>
      <c r="P69">
        <v>15</v>
      </c>
      <c r="Q69">
        <v>3</v>
      </c>
      <c r="R69">
        <v>0</v>
      </c>
      <c r="S69">
        <v>5</v>
      </c>
      <c r="T69">
        <v>5</v>
      </c>
      <c r="U69">
        <v>5</v>
      </c>
      <c r="V69">
        <v>0</v>
      </c>
      <c r="X69" t="s">
        <v>27</v>
      </c>
    </row>
    <row r="70" spans="1:24" x14ac:dyDescent="0.3">
      <c r="A70" t="s">
        <v>22</v>
      </c>
      <c r="B70" t="s">
        <v>28</v>
      </c>
      <c r="C70" t="s">
        <v>150</v>
      </c>
      <c r="D70">
        <v>5</v>
      </c>
      <c r="E70" t="s">
        <v>160</v>
      </c>
      <c r="F70" t="s">
        <v>31</v>
      </c>
      <c r="G70">
        <v>20</v>
      </c>
      <c r="I70" t="s">
        <v>161</v>
      </c>
      <c r="J70" t="s">
        <v>621</v>
      </c>
      <c r="L70">
        <v>9</v>
      </c>
      <c r="M70" t="s">
        <v>25</v>
      </c>
      <c r="N70">
        <v>0</v>
      </c>
      <c r="O70">
        <v>9</v>
      </c>
      <c r="P70">
        <v>9</v>
      </c>
      <c r="Q70">
        <v>3</v>
      </c>
      <c r="R70">
        <v>0</v>
      </c>
      <c r="S70">
        <v>3</v>
      </c>
      <c r="T70">
        <v>3</v>
      </c>
      <c r="U70">
        <v>3</v>
      </c>
      <c r="V70">
        <v>0</v>
      </c>
      <c r="W70" t="s">
        <v>162</v>
      </c>
      <c r="X70" t="s">
        <v>27</v>
      </c>
    </row>
    <row r="71" spans="1:24" x14ac:dyDescent="0.3">
      <c r="A71" t="s">
        <v>22</v>
      </c>
      <c r="B71" t="s">
        <v>28</v>
      </c>
      <c r="C71" t="s">
        <v>150</v>
      </c>
      <c r="D71">
        <v>6</v>
      </c>
      <c r="E71" t="s">
        <v>163</v>
      </c>
      <c r="F71" t="s">
        <v>31</v>
      </c>
      <c r="G71">
        <v>20</v>
      </c>
      <c r="I71" t="s">
        <v>161</v>
      </c>
      <c r="J71" t="s">
        <v>621</v>
      </c>
      <c r="L71">
        <v>9</v>
      </c>
      <c r="M71" t="s">
        <v>25</v>
      </c>
      <c r="N71">
        <v>0</v>
      </c>
      <c r="O71">
        <v>9</v>
      </c>
      <c r="P71">
        <v>9</v>
      </c>
      <c r="Q71">
        <v>3</v>
      </c>
      <c r="R71">
        <v>0</v>
      </c>
      <c r="S71">
        <v>3</v>
      </c>
      <c r="T71">
        <v>3</v>
      </c>
      <c r="U71">
        <v>3</v>
      </c>
      <c r="V71">
        <v>0</v>
      </c>
      <c r="W71" t="s">
        <v>162</v>
      </c>
      <c r="X71" t="s">
        <v>27</v>
      </c>
    </row>
    <row r="72" spans="1:24" x14ac:dyDescent="0.3">
      <c r="A72" t="s">
        <v>22</v>
      </c>
      <c r="B72" t="s">
        <v>28</v>
      </c>
      <c r="C72" t="s">
        <v>150</v>
      </c>
      <c r="D72">
        <v>7</v>
      </c>
      <c r="E72" t="s">
        <v>164</v>
      </c>
      <c r="F72" t="s">
        <v>31</v>
      </c>
      <c r="G72">
        <v>20</v>
      </c>
      <c r="I72" t="s">
        <v>161</v>
      </c>
      <c r="J72" t="s">
        <v>622</v>
      </c>
      <c r="L72">
        <v>15</v>
      </c>
      <c r="M72" t="s">
        <v>25</v>
      </c>
      <c r="N72">
        <v>0</v>
      </c>
      <c r="O72">
        <v>15</v>
      </c>
      <c r="P72">
        <v>15</v>
      </c>
      <c r="Q72">
        <v>3</v>
      </c>
      <c r="R72">
        <v>0</v>
      </c>
      <c r="S72">
        <v>5</v>
      </c>
      <c r="T72">
        <v>5</v>
      </c>
      <c r="U72">
        <v>5</v>
      </c>
      <c r="V72">
        <v>0</v>
      </c>
      <c r="W72" t="s">
        <v>165</v>
      </c>
      <c r="X72" t="s">
        <v>27</v>
      </c>
    </row>
    <row r="73" spans="1:24" x14ac:dyDescent="0.3">
      <c r="A73" t="s">
        <v>22</v>
      </c>
      <c r="B73" t="s">
        <v>28</v>
      </c>
      <c r="C73" t="s">
        <v>150</v>
      </c>
      <c r="D73">
        <v>8</v>
      </c>
      <c r="E73" t="s">
        <v>164</v>
      </c>
      <c r="F73" t="s">
        <v>55</v>
      </c>
      <c r="I73" t="s">
        <v>294</v>
      </c>
      <c r="J73" t="s">
        <v>227</v>
      </c>
      <c r="L73">
        <v>3</v>
      </c>
      <c r="M73" t="s">
        <v>25</v>
      </c>
      <c r="N73">
        <v>0</v>
      </c>
      <c r="O73">
        <v>3</v>
      </c>
      <c r="P73">
        <v>3</v>
      </c>
      <c r="Q73">
        <v>3</v>
      </c>
      <c r="R73">
        <v>0</v>
      </c>
      <c r="S73">
        <v>1</v>
      </c>
      <c r="T73">
        <v>1</v>
      </c>
      <c r="U73">
        <v>1</v>
      </c>
      <c r="V73">
        <v>0</v>
      </c>
      <c r="W73" t="s">
        <v>56</v>
      </c>
      <c r="X73" t="s">
        <v>27</v>
      </c>
    </row>
    <row r="74" spans="1:24" x14ac:dyDescent="0.3">
      <c r="A74" t="s">
        <v>22</v>
      </c>
      <c r="B74" t="s">
        <v>28</v>
      </c>
      <c r="C74" t="s">
        <v>150</v>
      </c>
      <c r="D74">
        <v>9</v>
      </c>
      <c r="E74" t="s">
        <v>164</v>
      </c>
      <c r="F74" t="s">
        <v>19</v>
      </c>
      <c r="I74" t="s">
        <v>623</v>
      </c>
      <c r="J74" t="s">
        <v>227</v>
      </c>
      <c r="L74">
        <v>3</v>
      </c>
      <c r="M74" t="s">
        <v>25</v>
      </c>
      <c r="N74">
        <v>0</v>
      </c>
      <c r="O74">
        <v>3</v>
      </c>
      <c r="P74">
        <v>3</v>
      </c>
      <c r="Q74">
        <v>3</v>
      </c>
      <c r="R74">
        <v>0</v>
      </c>
      <c r="S74">
        <v>1</v>
      </c>
      <c r="T74">
        <v>1</v>
      </c>
      <c r="U74">
        <v>1</v>
      </c>
      <c r="V74">
        <v>0</v>
      </c>
      <c r="W74" t="s">
        <v>56</v>
      </c>
      <c r="X74" t="s">
        <v>27</v>
      </c>
    </row>
    <row r="75" spans="1:24" x14ac:dyDescent="0.3">
      <c r="A75" t="s">
        <v>22</v>
      </c>
      <c r="B75" t="s">
        <v>28</v>
      </c>
      <c r="C75" t="s">
        <v>166</v>
      </c>
      <c r="D75">
        <v>1</v>
      </c>
      <c r="E75" t="s">
        <v>167</v>
      </c>
      <c r="F75" t="s">
        <v>31</v>
      </c>
      <c r="G75" s="1">
        <v>104</v>
      </c>
      <c r="H75" s="1"/>
      <c r="I75" t="s">
        <v>168</v>
      </c>
      <c r="J75" t="s">
        <v>169</v>
      </c>
      <c r="L75">
        <v>156</v>
      </c>
      <c r="M75" t="s">
        <v>62</v>
      </c>
      <c r="N75">
        <v>54</v>
      </c>
      <c r="O75">
        <v>102</v>
      </c>
      <c r="P75">
        <v>156</v>
      </c>
      <c r="Q75">
        <v>3</v>
      </c>
      <c r="R75">
        <v>0</v>
      </c>
      <c r="S75">
        <v>52</v>
      </c>
      <c r="T75">
        <v>52</v>
      </c>
      <c r="U75">
        <v>52</v>
      </c>
      <c r="V75">
        <v>0</v>
      </c>
      <c r="W75" t="s">
        <v>624</v>
      </c>
      <c r="X75" t="s">
        <v>27</v>
      </c>
    </row>
    <row r="76" spans="1:24" x14ac:dyDescent="0.3">
      <c r="A76" t="s">
        <v>22</v>
      </c>
      <c r="B76" t="s">
        <v>28</v>
      </c>
      <c r="C76" t="s">
        <v>166</v>
      </c>
      <c r="D76">
        <v>2</v>
      </c>
      <c r="E76" t="s">
        <v>167</v>
      </c>
      <c r="F76" t="s">
        <v>55</v>
      </c>
      <c r="I76" t="s">
        <v>170</v>
      </c>
      <c r="J76" t="s">
        <v>625</v>
      </c>
      <c r="L76">
        <v>6</v>
      </c>
      <c r="M76" t="s">
        <v>25</v>
      </c>
      <c r="N76">
        <v>0</v>
      </c>
      <c r="O76">
        <v>6</v>
      </c>
      <c r="P76">
        <v>6</v>
      </c>
      <c r="Q76">
        <v>3</v>
      </c>
      <c r="R76">
        <v>0</v>
      </c>
      <c r="S76">
        <v>2</v>
      </c>
      <c r="T76">
        <v>2</v>
      </c>
      <c r="U76">
        <v>2</v>
      </c>
      <c r="V76">
        <v>0</v>
      </c>
      <c r="X76" t="s">
        <v>27</v>
      </c>
    </row>
    <row r="77" spans="1:24" x14ac:dyDescent="0.3">
      <c r="A77" t="s">
        <v>22</v>
      </c>
      <c r="B77" t="s">
        <v>28</v>
      </c>
      <c r="C77" t="s">
        <v>166</v>
      </c>
      <c r="D77">
        <v>3</v>
      </c>
      <c r="E77" t="s">
        <v>167</v>
      </c>
      <c r="F77" t="s">
        <v>63</v>
      </c>
      <c r="I77" t="s">
        <v>171</v>
      </c>
      <c r="J77" t="s">
        <v>626</v>
      </c>
      <c r="L77">
        <v>15</v>
      </c>
      <c r="M77" t="s">
        <v>25</v>
      </c>
      <c r="N77">
        <v>0</v>
      </c>
      <c r="O77">
        <v>15</v>
      </c>
      <c r="P77">
        <v>15</v>
      </c>
      <c r="Q77">
        <v>3</v>
      </c>
      <c r="R77">
        <v>0</v>
      </c>
      <c r="S77">
        <v>5</v>
      </c>
      <c r="T77">
        <v>5</v>
      </c>
      <c r="U77">
        <v>5</v>
      </c>
      <c r="V77">
        <v>0</v>
      </c>
      <c r="X77" t="s">
        <v>74</v>
      </c>
    </row>
    <row r="78" spans="1:24" x14ac:dyDescent="0.3">
      <c r="A78" t="s">
        <v>22</v>
      </c>
      <c r="B78" t="s">
        <v>28</v>
      </c>
      <c r="C78" t="s">
        <v>166</v>
      </c>
      <c r="D78">
        <v>4</v>
      </c>
      <c r="E78" t="s">
        <v>167</v>
      </c>
      <c r="F78" t="s">
        <v>172</v>
      </c>
      <c r="I78" t="s">
        <v>173</v>
      </c>
      <c r="J78" t="s">
        <v>627</v>
      </c>
      <c r="L78">
        <v>12</v>
      </c>
      <c r="M78" t="s">
        <v>25</v>
      </c>
      <c r="N78">
        <v>0</v>
      </c>
      <c r="O78">
        <v>12</v>
      </c>
      <c r="P78">
        <v>12</v>
      </c>
      <c r="Q78">
        <v>3</v>
      </c>
      <c r="R78">
        <v>0</v>
      </c>
      <c r="S78">
        <v>4</v>
      </c>
      <c r="T78">
        <v>4</v>
      </c>
      <c r="U78">
        <v>4</v>
      </c>
      <c r="V78">
        <v>0</v>
      </c>
      <c r="X78" t="s">
        <v>74</v>
      </c>
    </row>
    <row r="79" spans="1:24" x14ac:dyDescent="0.3">
      <c r="A79" t="s">
        <v>22</v>
      </c>
      <c r="B79" t="s">
        <v>28</v>
      </c>
      <c r="C79" t="s">
        <v>166</v>
      </c>
      <c r="D79">
        <v>5</v>
      </c>
      <c r="E79" t="s">
        <v>167</v>
      </c>
      <c r="F79" t="s">
        <v>174</v>
      </c>
      <c r="I79" t="s">
        <v>175</v>
      </c>
      <c r="J79" t="s">
        <v>628</v>
      </c>
      <c r="L79">
        <v>3</v>
      </c>
      <c r="M79" t="s">
        <v>25</v>
      </c>
      <c r="N79">
        <v>0</v>
      </c>
      <c r="O79">
        <v>3</v>
      </c>
      <c r="P79">
        <v>3</v>
      </c>
      <c r="Q79">
        <v>3</v>
      </c>
      <c r="R79">
        <v>0</v>
      </c>
      <c r="S79">
        <v>1</v>
      </c>
      <c r="T79">
        <v>1</v>
      </c>
      <c r="U79">
        <v>1</v>
      </c>
      <c r="V79">
        <v>0</v>
      </c>
      <c r="X79" t="s">
        <v>74</v>
      </c>
    </row>
    <row r="80" spans="1:24" x14ac:dyDescent="0.3">
      <c r="A80" t="s">
        <v>22</v>
      </c>
      <c r="B80" t="s">
        <v>28</v>
      </c>
      <c r="C80" t="s">
        <v>166</v>
      </c>
      <c r="D80">
        <v>6</v>
      </c>
      <c r="E80" t="s">
        <v>167</v>
      </c>
      <c r="F80" t="s">
        <v>176</v>
      </c>
      <c r="I80" t="s">
        <v>177</v>
      </c>
      <c r="J80" t="s">
        <v>627</v>
      </c>
      <c r="L80">
        <v>12</v>
      </c>
      <c r="M80" t="s">
        <v>25</v>
      </c>
      <c r="N80">
        <v>0</v>
      </c>
      <c r="O80">
        <v>12</v>
      </c>
      <c r="P80">
        <v>12</v>
      </c>
      <c r="Q80">
        <v>3</v>
      </c>
      <c r="R80">
        <v>0</v>
      </c>
      <c r="S80">
        <v>4</v>
      </c>
      <c r="T80">
        <v>4</v>
      </c>
      <c r="U80">
        <v>4</v>
      </c>
      <c r="V80">
        <v>0</v>
      </c>
      <c r="X80" t="s">
        <v>178</v>
      </c>
    </row>
    <row r="81" spans="1:24" x14ac:dyDescent="0.3">
      <c r="A81" t="s">
        <v>22</v>
      </c>
      <c r="B81" t="s">
        <v>28</v>
      </c>
      <c r="C81" t="s">
        <v>166</v>
      </c>
      <c r="D81">
        <v>7</v>
      </c>
      <c r="E81" t="s">
        <v>167</v>
      </c>
      <c r="F81" t="s">
        <v>19</v>
      </c>
      <c r="I81" t="s">
        <v>179</v>
      </c>
      <c r="J81" t="s">
        <v>627</v>
      </c>
      <c r="L81">
        <v>12</v>
      </c>
      <c r="M81" t="s">
        <v>25</v>
      </c>
      <c r="N81">
        <v>0</v>
      </c>
      <c r="O81">
        <v>12</v>
      </c>
      <c r="P81">
        <v>12</v>
      </c>
      <c r="Q81">
        <v>3</v>
      </c>
      <c r="R81">
        <v>0</v>
      </c>
      <c r="S81">
        <v>4</v>
      </c>
      <c r="T81">
        <v>4</v>
      </c>
      <c r="U81">
        <v>4</v>
      </c>
      <c r="V81">
        <v>0</v>
      </c>
      <c r="X81" t="s">
        <v>27</v>
      </c>
    </row>
    <row r="82" spans="1:24" x14ac:dyDescent="0.3">
      <c r="A82" t="s">
        <v>22</v>
      </c>
      <c r="B82" t="s">
        <v>28</v>
      </c>
      <c r="C82" t="s">
        <v>166</v>
      </c>
      <c r="D82">
        <v>8</v>
      </c>
      <c r="E82" t="s">
        <v>167</v>
      </c>
      <c r="F82" t="s">
        <v>180</v>
      </c>
      <c r="I82" t="s">
        <v>181</v>
      </c>
      <c r="J82" t="s">
        <v>629</v>
      </c>
      <c r="L82">
        <v>9</v>
      </c>
      <c r="M82" t="s">
        <v>25</v>
      </c>
      <c r="N82">
        <v>0</v>
      </c>
      <c r="O82">
        <v>9</v>
      </c>
      <c r="P82">
        <v>9</v>
      </c>
      <c r="Q82">
        <v>3</v>
      </c>
      <c r="R82">
        <v>0</v>
      </c>
      <c r="S82">
        <v>3</v>
      </c>
      <c r="T82">
        <v>3</v>
      </c>
      <c r="U82">
        <v>3</v>
      </c>
      <c r="V82">
        <v>0</v>
      </c>
      <c r="X82" t="s">
        <v>74</v>
      </c>
    </row>
    <row r="83" spans="1:24" x14ac:dyDescent="0.3">
      <c r="A83" t="s">
        <v>22</v>
      </c>
      <c r="B83" t="s">
        <v>28</v>
      </c>
      <c r="C83" t="s">
        <v>182</v>
      </c>
      <c r="D83">
        <v>1</v>
      </c>
      <c r="E83" t="s">
        <v>183</v>
      </c>
      <c r="F83" t="s">
        <v>31</v>
      </c>
      <c r="H83" s="1">
        <v>2772</v>
      </c>
      <c r="I83" t="s">
        <v>184</v>
      </c>
      <c r="J83" t="s">
        <v>631</v>
      </c>
      <c r="L83">
        <v>36</v>
      </c>
      <c r="M83" t="s">
        <v>25</v>
      </c>
      <c r="N83">
        <v>0</v>
      </c>
      <c r="O83">
        <v>36</v>
      </c>
      <c r="P83">
        <v>36</v>
      </c>
      <c r="Q83">
        <v>3</v>
      </c>
      <c r="R83">
        <v>0</v>
      </c>
      <c r="S83">
        <v>12</v>
      </c>
      <c r="T83">
        <v>12</v>
      </c>
      <c r="U83">
        <v>12</v>
      </c>
      <c r="V83">
        <v>0</v>
      </c>
      <c r="W83" t="s">
        <v>630</v>
      </c>
      <c r="X83" t="s">
        <v>27</v>
      </c>
    </row>
    <row r="84" spans="1:24" x14ac:dyDescent="0.3">
      <c r="A84" t="s">
        <v>22</v>
      </c>
      <c r="B84" t="s">
        <v>28</v>
      </c>
      <c r="C84" t="s">
        <v>182</v>
      </c>
      <c r="D84">
        <v>2</v>
      </c>
      <c r="E84" t="s">
        <v>183</v>
      </c>
      <c r="F84" t="s">
        <v>55</v>
      </c>
      <c r="I84" t="s">
        <v>185</v>
      </c>
      <c r="J84" t="s">
        <v>632</v>
      </c>
      <c r="L84">
        <v>3</v>
      </c>
      <c r="M84" t="s">
        <v>25</v>
      </c>
      <c r="N84">
        <v>0</v>
      </c>
      <c r="O84">
        <v>3</v>
      </c>
      <c r="P84">
        <v>3</v>
      </c>
      <c r="Q84">
        <v>3</v>
      </c>
      <c r="R84">
        <v>0</v>
      </c>
      <c r="S84">
        <v>1</v>
      </c>
      <c r="T84">
        <v>1</v>
      </c>
      <c r="U84">
        <v>1</v>
      </c>
      <c r="V84">
        <v>0</v>
      </c>
      <c r="X84" t="s">
        <v>27</v>
      </c>
    </row>
    <row r="85" spans="1:24" x14ac:dyDescent="0.3">
      <c r="A85" t="s">
        <v>22</v>
      </c>
      <c r="B85" t="s">
        <v>28</v>
      </c>
      <c r="C85" t="s">
        <v>182</v>
      </c>
      <c r="D85">
        <v>3</v>
      </c>
      <c r="E85" t="s">
        <v>183</v>
      </c>
      <c r="F85" t="s">
        <v>186</v>
      </c>
      <c r="I85" t="s">
        <v>187</v>
      </c>
      <c r="J85" t="s">
        <v>632</v>
      </c>
      <c r="L85">
        <v>3</v>
      </c>
      <c r="M85" t="s">
        <v>25</v>
      </c>
      <c r="N85">
        <v>0</v>
      </c>
      <c r="O85">
        <v>3</v>
      </c>
      <c r="P85">
        <v>3</v>
      </c>
      <c r="Q85">
        <v>3</v>
      </c>
      <c r="R85">
        <v>0</v>
      </c>
      <c r="S85">
        <v>1</v>
      </c>
      <c r="T85">
        <v>1</v>
      </c>
      <c r="U85">
        <v>1</v>
      </c>
      <c r="V85">
        <v>0</v>
      </c>
      <c r="X85" t="s">
        <v>178</v>
      </c>
    </row>
    <row r="86" spans="1:24" x14ac:dyDescent="0.3">
      <c r="A86" t="s">
        <v>22</v>
      </c>
      <c r="B86" t="s">
        <v>28</v>
      </c>
      <c r="C86" t="s">
        <v>182</v>
      </c>
      <c r="D86">
        <v>4</v>
      </c>
      <c r="E86" t="s">
        <v>183</v>
      </c>
      <c r="F86" t="s">
        <v>188</v>
      </c>
      <c r="I86" t="s">
        <v>189</v>
      </c>
      <c r="J86" t="s">
        <v>633</v>
      </c>
      <c r="L86">
        <v>6</v>
      </c>
      <c r="M86" t="s">
        <v>25</v>
      </c>
      <c r="N86">
        <v>0</v>
      </c>
      <c r="O86">
        <v>6</v>
      </c>
      <c r="P86">
        <v>6</v>
      </c>
      <c r="Q86">
        <v>3</v>
      </c>
      <c r="R86">
        <v>0</v>
      </c>
      <c r="S86">
        <v>2</v>
      </c>
      <c r="T86">
        <v>2</v>
      </c>
      <c r="U86">
        <v>2</v>
      </c>
      <c r="V86">
        <v>0</v>
      </c>
      <c r="X86" t="s">
        <v>178</v>
      </c>
    </row>
    <row r="87" spans="1:24" x14ac:dyDescent="0.3">
      <c r="A87" t="s">
        <v>22</v>
      </c>
      <c r="B87" t="s">
        <v>28</v>
      </c>
      <c r="C87" t="s">
        <v>190</v>
      </c>
      <c r="D87">
        <v>1</v>
      </c>
      <c r="F87" t="s">
        <v>191</v>
      </c>
      <c r="J87" t="s">
        <v>24</v>
      </c>
      <c r="L87">
        <v>4</v>
      </c>
      <c r="M87" t="s">
        <v>115</v>
      </c>
      <c r="N87">
        <v>4</v>
      </c>
      <c r="O87">
        <v>0</v>
      </c>
      <c r="P87">
        <v>4</v>
      </c>
      <c r="Q87">
        <v>3</v>
      </c>
      <c r="R87">
        <v>0</v>
      </c>
      <c r="S87">
        <v>1.33</v>
      </c>
      <c r="T87">
        <v>1.33</v>
      </c>
      <c r="U87">
        <v>1.34</v>
      </c>
      <c r="V87">
        <v>0</v>
      </c>
      <c r="W87" t="s">
        <v>56</v>
      </c>
      <c r="X87" t="s">
        <v>74</v>
      </c>
    </row>
    <row r="88" spans="1:24" x14ac:dyDescent="0.3">
      <c r="A88" t="s">
        <v>22</v>
      </c>
      <c r="B88" t="s">
        <v>28</v>
      </c>
      <c r="C88" t="s">
        <v>190</v>
      </c>
      <c r="D88">
        <v>2</v>
      </c>
      <c r="F88" t="s">
        <v>192</v>
      </c>
      <c r="J88" t="s">
        <v>24</v>
      </c>
      <c r="L88">
        <v>3</v>
      </c>
      <c r="M88" t="s">
        <v>115</v>
      </c>
      <c r="N88">
        <v>3</v>
      </c>
      <c r="O88">
        <v>0</v>
      </c>
      <c r="P88">
        <v>3</v>
      </c>
      <c r="Q88">
        <v>3</v>
      </c>
      <c r="R88">
        <v>0</v>
      </c>
      <c r="S88">
        <v>1</v>
      </c>
      <c r="T88">
        <v>1</v>
      </c>
      <c r="U88">
        <v>1</v>
      </c>
      <c r="V88">
        <v>0</v>
      </c>
      <c r="W88" t="s">
        <v>56</v>
      </c>
      <c r="X88" t="s">
        <v>74</v>
      </c>
    </row>
    <row r="89" spans="1:24" x14ac:dyDescent="0.3">
      <c r="A89" t="s">
        <v>22</v>
      </c>
      <c r="B89" t="s">
        <v>28</v>
      </c>
      <c r="C89" t="s">
        <v>190</v>
      </c>
      <c r="D89">
        <v>3</v>
      </c>
      <c r="F89" t="s">
        <v>193</v>
      </c>
      <c r="J89" t="s">
        <v>24</v>
      </c>
      <c r="L89">
        <v>11</v>
      </c>
      <c r="M89" t="s">
        <v>115</v>
      </c>
      <c r="N89">
        <v>11</v>
      </c>
      <c r="O89">
        <v>0</v>
      </c>
      <c r="P89">
        <v>11</v>
      </c>
      <c r="Q89">
        <v>3</v>
      </c>
      <c r="R89">
        <v>0</v>
      </c>
      <c r="S89">
        <v>3.67</v>
      </c>
      <c r="T89">
        <v>3.67</v>
      </c>
      <c r="U89">
        <v>3.66</v>
      </c>
      <c r="V89">
        <v>0</v>
      </c>
      <c r="W89" t="s">
        <v>56</v>
      </c>
      <c r="X89" t="s">
        <v>74</v>
      </c>
    </row>
    <row r="90" spans="1:24" x14ac:dyDescent="0.3">
      <c r="A90" t="s">
        <v>22</v>
      </c>
      <c r="B90" t="s">
        <v>28</v>
      </c>
      <c r="C90" t="s">
        <v>190</v>
      </c>
      <c r="D90">
        <v>4</v>
      </c>
      <c r="F90" t="s">
        <v>194</v>
      </c>
      <c r="J90" t="s">
        <v>24</v>
      </c>
      <c r="L90">
        <v>4</v>
      </c>
      <c r="M90" t="s">
        <v>115</v>
      </c>
      <c r="N90">
        <v>4</v>
      </c>
      <c r="O90">
        <v>0</v>
      </c>
      <c r="P90">
        <v>4</v>
      </c>
      <c r="Q90">
        <v>3</v>
      </c>
      <c r="R90">
        <v>0</v>
      </c>
      <c r="S90">
        <v>1.33</v>
      </c>
      <c r="T90">
        <v>1.33</v>
      </c>
      <c r="U90">
        <v>1.34</v>
      </c>
      <c r="V90">
        <v>0</v>
      </c>
      <c r="W90" t="s">
        <v>56</v>
      </c>
      <c r="X90" t="s">
        <v>178</v>
      </c>
    </row>
    <row r="91" spans="1:24" x14ac:dyDescent="0.3">
      <c r="A91" t="s">
        <v>22</v>
      </c>
      <c r="B91" t="s">
        <v>28</v>
      </c>
      <c r="C91" t="s">
        <v>190</v>
      </c>
      <c r="D91">
        <v>5</v>
      </c>
      <c r="F91" t="s">
        <v>195</v>
      </c>
      <c r="J91" t="s">
        <v>24</v>
      </c>
      <c r="L91">
        <v>2</v>
      </c>
      <c r="M91" t="s">
        <v>115</v>
      </c>
      <c r="N91">
        <v>2</v>
      </c>
      <c r="O91">
        <v>0</v>
      </c>
      <c r="P91">
        <v>2</v>
      </c>
      <c r="Q91">
        <v>1</v>
      </c>
      <c r="R91">
        <v>2</v>
      </c>
      <c r="S91">
        <v>0</v>
      </c>
      <c r="T91">
        <v>0</v>
      </c>
      <c r="U91">
        <v>0</v>
      </c>
      <c r="V91">
        <v>0</v>
      </c>
      <c r="W91" t="s">
        <v>26</v>
      </c>
      <c r="X91" t="s">
        <v>178</v>
      </c>
    </row>
    <row r="92" spans="1:24" x14ac:dyDescent="0.3">
      <c r="A92" t="s">
        <v>22</v>
      </c>
      <c r="B92" t="s">
        <v>28</v>
      </c>
      <c r="C92" t="s">
        <v>637</v>
      </c>
      <c r="D92">
        <v>1</v>
      </c>
      <c r="E92" t="s">
        <v>611</v>
      </c>
      <c r="F92" t="s">
        <v>611</v>
      </c>
      <c r="L92">
        <v>82</v>
      </c>
      <c r="N92">
        <v>0</v>
      </c>
      <c r="O92">
        <v>82</v>
      </c>
      <c r="P92">
        <v>82</v>
      </c>
      <c r="Q92">
        <v>3</v>
      </c>
      <c r="R92">
        <v>82</v>
      </c>
      <c r="S92">
        <v>0</v>
      </c>
      <c r="T92">
        <v>0</v>
      </c>
      <c r="U92">
        <v>0</v>
      </c>
      <c r="V92">
        <v>0</v>
      </c>
    </row>
    <row r="93" spans="1:24" x14ac:dyDescent="0.3">
      <c r="A93" t="s">
        <v>22</v>
      </c>
      <c r="B93" t="s">
        <v>28</v>
      </c>
      <c r="C93" t="s">
        <v>634</v>
      </c>
      <c r="D93">
        <v>1</v>
      </c>
      <c r="E93" t="s">
        <v>634</v>
      </c>
      <c r="F93" t="s">
        <v>634</v>
      </c>
      <c r="L93">
        <v>32</v>
      </c>
      <c r="N93">
        <v>20</v>
      </c>
      <c r="O93">
        <v>12</v>
      </c>
      <c r="P93">
        <v>32</v>
      </c>
      <c r="Q93">
        <v>3</v>
      </c>
      <c r="R93">
        <v>32</v>
      </c>
      <c r="S93">
        <v>0</v>
      </c>
      <c r="T93">
        <v>0</v>
      </c>
      <c r="U93">
        <v>0</v>
      </c>
      <c r="V93">
        <v>0</v>
      </c>
    </row>
    <row r="94" spans="1:24" x14ac:dyDescent="0.3">
      <c r="A94" t="s">
        <v>22</v>
      </c>
      <c r="B94" t="s">
        <v>28</v>
      </c>
      <c r="C94" t="s">
        <v>638</v>
      </c>
      <c r="D94">
        <v>1</v>
      </c>
      <c r="E94" t="s">
        <v>612</v>
      </c>
      <c r="F94" t="s">
        <v>612</v>
      </c>
      <c r="L94">
        <v>9</v>
      </c>
      <c r="N94">
        <v>9</v>
      </c>
      <c r="O94">
        <v>9</v>
      </c>
      <c r="P94">
        <v>9</v>
      </c>
      <c r="Q94">
        <v>3</v>
      </c>
      <c r="R94">
        <v>9</v>
      </c>
      <c r="S94">
        <v>0</v>
      </c>
      <c r="T94">
        <v>0</v>
      </c>
      <c r="U94">
        <v>0</v>
      </c>
      <c r="V94">
        <v>0</v>
      </c>
    </row>
    <row r="95" spans="1:24" x14ac:dyDescent="0.3">
      <c r="A95" t="s">
        <v>22</v>
      </c>
      <c r="B95" t="s">
        <v>196</v>
      </c>
      <c r="C95" t="s">
        <v>197</v>
      </c>
      <c r="D95">
        <v>1</v>
      </c>
      <c r="E95" t="s">
        <v>198</v>
      </c>
      <c r="F95" t="s">
        <v>199</v>
      </c>
      <c r="G95">
        <v>10</v>
      </c>
      <c r="I95" t="s">
        <v>200</v>
      </c>
      <c r="J95" t="s">
        <v>707</v>
      </c>
      <c r="L95">
        <v>30</v>
      </c>
      <c r="M95" t="s">
        <v>25</v>
      </c>
      <c r="N95">
        <v>0</v>
      </c>
      <c r="O95">
        <v>30</v>
      </c>
      <c r="P95">
        <v>30</v>
      </c>
      <c r="Q95">
        <v>3</v>
      </c>
      <c r="R95">
        <v>0</v>
      </c>
      <c r="S95">
        <v>10</v>
      </c>
      <c r="T95">
        <v>10</v>
      </c>
      <c r="U95">
        <v>10</v>
      </c>
      <c r="V95">
        <v>0</v>
      </c>
      <c r="X95" t="s">
        <v>27</v>
      </c>
    </row>
    <row r="96" spans="1:24" x14ac:dyDescent="0.3">
      <c r="A96" t="s">
        <v>22</v>
      </c>
      <c r="B96" t="s">
        <v>196</v>
      </c>
      <c r="C96" t="s">
        <v>197</v>
      </c>
      <c r="D96">
        <v>2</v>
      </c>
      <c r="E96" t="s">
        <v>198</v>
      </c>
      <c r="F96" t="s">
        <v>202</v>
      </c>
      <c r="I96" t="s">
        <v>203</v>
      </c>
      <c r="J96" t="s">
        <v>201</v>
      </c>
      <c r="L96">
        <v>24</v>
      </c>
      <c r="M96" t="s">
        <v>25</v>
      </c>
      <c r="N96">
        <v>0</v>
      </c>
      <c r="O96">
        <v>24</v>
      </c>
      <c r="P96">
        <v>24</v>
      </c>
      <c r="Q96">
        <v>3</v>
      </c>
      <c r="R96">
        <v>0</v>
      </c>
      <c r="S96">
        <v>8</v>
      </c>
      <c r="T96">
        <v>8</v>
      </c>
      <c r="U96">
        <v>8</v>
      </c>
      <c r="V96">
        <v>0</v>
      </c>
      <c r="X96" t="s">
        <v>74</v>
      </c>
    </row>
    <row r="97" spans="1:24" x14ac:dyDescent="0.3">
      <c r="A97" t="s">
        <v>22</v>
      </c>
      <c r="B97" t="s">
        <v>196</v>
      </c>
      <c r="C97" t="s">
        <v>197</v>
      </c>
      <c r="D97">
        <v>3</v>
      </c>
      <c r="E97" t="s">
        <v>204</v>
      </c>
      <c r="F97" t="s">
        <v>199</v>
      </c>
      <c r="G97">
        <v>2</v>
      </c>
      <c r="I97" t="s">
        <v>200</v>
      </c>
      <c r="J97" t="s">
        <v>205</v>
      </c>
      <c r="L97">
        <v>6</v>
      </c>
      <c r="M97" t="s">
        <v>25</v>
      </c>
      <c r="N97">
        <v>0</v>
      </c>
      <c r="O97">
        <v>6</v>
      </c>
      <c r="P97">
        <v>6</v>
      </c>
      <c r="Q97">
        <v>3</v>
      </c>
      <c r="R97">
        <v>0</v>
      </c>
      <c r="S97">
        <v>2</v>
      </c>
      <c r="T97">
        <v>2</v>
      </c>
      <c r="U97">
        <v>2</v>
      </c>
      <c r="V97">
        <v>0</v>
      </c>
      <c r="X97" t="s">
        <v>27</v>
      </c>
    </row>
    <row r="98" spans="1:24" x14ac:dyDescent="0.3">
      <c r="A98" t="s">
        <v>22</v>
      </c>
      <c r="B98" t="s">
        <v>196</v>
      </c>
      <c r="C98" t="s">
        <v>197</v>
      </c>
      <c r="D98">
        <v>4</v>
      </c>
      <c r="E98" t="s">
        <v>204</v>
      </c>
      <c r="F98" t="s">
        <v>202</v>
      </c>
      <c r="I98" t="s">
        <v>206</v>
      </c>
      <c r="J98" t="s">
        <v>708</v>
      </c>
      <c r="L98">
        <v>3</v>
      </c>
      <c r="M98" t="s">
        <v>25</v>
      </c>
      <c r="N98">
        <v>0</v>
      </c>
      <c r="O98">
        <v>3</v>
      </c>
      <c r="P98">
        <v>3</v>
      </c>
      <c r="Q98">
        <v>3</v>
      </c>
      <c r="R98">
        <v>0</v>
      </c>
      <c r="S98">
        <v>1</v>
      </c>
      <c r="T98">
        <v>1</v>
      </c>
      <c r="U98">
        <v>1</v>
      </c>
      <c r="V98">
        <v>0</v>
      </c>
      <c r="X98" t="s">
        <v>74</v>
      </c>
    </row>
    <row r="99" spans="1:24" x14ac:dyDescent="0.3">
      <c r="A99" t="s">
        <v>22</v>
      </c>
      <c r="B99" t="s">
        <v>196</v>
      </c>
      <c r="C99" t="s">
        <v>197</v>
      </c>
      <c r="D99">
        <v>5</v>
      </c>
      <c r="E99" t="s">
        <v>207</v>
      </c>
      <c r="F99" t="s">
        <v>208</v>
      </c>
      <c r="G99">
        <v>10</v>
      </c>
      <c r="I99" t="s">
        <v>209</v>
      </c>
      <c r="J99" t="s">
        <v>201</v>
      </c>
      <c r="L99">
        <v>30</v>
      </c>
      <c r="M99" t="s">
        <v>25</v>
      </c>
      <c r="N99">
        <v>0</v>
      </c>
      <c r="O99">
        <v>30</v>
      </c>
      <c r="P99">
        <v>30</v>
      </c>
      <c r="Q99">
        <v>3</v>
      </c>
      <c r="R99">
        <v>0</v>
      </c>
      <c r="S99">
        <v>10</v>
      </c>
      <c r="T99">
        <v>10</v>
      </c>
      <c r="U99">
        <v>10</v>
      </c>
      <c r="V99">
        <v>0</v>
      </c>
      <c r="X99" t="s">
        <v>27</v>
      </c>
    </row>
    <row r="100" spans="1:24" x14ac:dyDescent="0.3">
      <c r="A100" t="s">
        <v>22</v>
      </c>
      <c r="B100" t="s">
        <v>196</v>
      </c>
      <c r="C100" t="s">
        <v>197</v>
      </c>
      <c r="D100">
        <v>6</v>
      </c>
      <c r="E100" t="s">
        <v>207</v>
      </c>
      <c r="F100" t="s">
        <v>210</v>
      </c>
      <c r="I100" t="s">
        <v>211</v>
      </c>
      <c r="J100" t="s">
        <v>201</v>
      </c>
      <c r="L100">
        <v>30</v>
      </c>
      <c r="M100" t="s">
        <v>25</v>
      </c>
      <c r="N100">
        <v>0</v>
      </c>
      <c r="O100">
        <v>30</v>
      </c>
      <c r="P100">
        <v>30</v>
      </c>
      <c r="Q100">
        <v>3</v>
      </c>
      <c r="R100">
        <v>0</v>
      </c>
      <c r="S100">
        <v>10</v>
      </c>
      <c r="T100">
        <v>10</v>
      </c>
      <c r="U100">
        <v>10</v>
      </c>
      <c r="V100">
        <v>0</v>
      </c>
      <c r="X100" t="s">
        <v>74</v>
      </c>
    </row>
    <row r="101" spans="1:24" x14ac:dyDescent="0.3">
      <c r="A101" t="s">
        <v>22</v>
      </c>
      <c r="B101" t="s">
        <v>196</v>
      </c>
      <c r="C101" t="s">
        <v>197</v>
      </c>
      <c r="D101">
        <v>7</v>
      </c>
      <c r="E101" t="s">
        <v>207</v>
      </c>
      <c r="F101" t="s">
        <v>212</v>
      </c>
      <c r="I101" t="s">
        <v>213</v>
      </c>
      <c r="J101" t="s">
        <v>214</v>
      </c>
      <c r="L101">
        <v>6</v>
      </c>
      <c r="M101" t="s">
        <v>25</v>
      </c>
      <c r="N101">
        <v>0</v>
      </c>
      <c r="O101">
        <v>6</v>
      </c>
      <c r="P101">
        <v>6</v>
      </c>
      <c r="Q101">
        <v>3</v>
      </c>
      <c r="R101">
        <v>0</v>
      </c>
      <c r="S101">
        <v>2</v>
      </c>
      <c r="T101">
        <v>2</v>
      </c>
      <c r="U101">
        <v>2</v>
      </c>
      <c r="V101">
        <v>0</v>
      </c>
      <c r="X101" t="s">
        <v>74</v>
      </c>
    </row>
    <row r="102" spans="1:24" x14ac:dyDescent="0.3">
      <c r="A102" t="s">
        <v>22</v>
      </c>
      <c r="B102" t="s">
        <v>196</v>
      </c>
      <c r="C102" t="s">
        <v>197</v>
      </c>
      <c r="D102">
        <v>8</v>
      </c>
      <c r="E102" t="s">
        <v>207</v>
      </c>
      <c r="F102" t="s">
        <v>215</v>
      </c>
      <c r="G102">
        <v>6</v>
      </c>
      <c r="I102" t="s">
        <v>216</v>
      </c>
      <c r="J102" t="s">
        <v>217</v>
      </c>
      <c r="L102">
        <v>18</v>
      </c>
      <c r="M102" t="s">
        <v>25</v>
      </c>
      <c r="N102">
        <v>0</v>
      </c>
      <c r="O102">
        <v>18</v>
      </c>
      <c r="P102">
        <v>18</v>
      </c>
      <c r="Q102">
        <v>3</v>
      </c>
      <c r="R102">
        <v>0</v>
      </c>
      <c r="S102">
        <v>6</v>
      </c>
      <c r="T102">
        <v>6</v>
      </c>
      <c r="U102">
        <v>6</v>
      </c>
      <c r="V102">
        <v>0</v>
      </c>
      <c r="X102" t="s">
        <v>74</v>
      </c>
    </row>
    <row r="103" spans="1:24" x14ac:dyDescent="0.3">
      <c r="A103" t="s">
        <v>22</v>
      </c>
      <c r="B103" t="s">
        <v>196</v>
      </c>
      <c r="C103" t="s">
        <v>197</v>
      </c>
      <c r="D103">
        <v>9</v>
      </c>
      <c r="E103" t="s">
        <v>218</v>
      </c>
      <c r="F103" t="s">
        <v>219</v>
      </c>
      <c r="H103">
        <v>30</v>
      </c>
      <c r="I103" t="s">
        <v>220</v>
      </c>
      <c r="J103" t="s">
        <v>709</v>
      </c>
      <c r="L103">
        <v>30</v>
      </c>
      <c r="M103" t="s">
        <v>25</v>
      </c>
      <c r="N103">
        <v>0</v>
      </c>
      <c r="O103">
        <v>27</v>
      </c>
      <c r="P103">
        <v>27</v>
      </c>
      <c r="Q103">
        <v>3</v>
      </c>
      <c r="R103">
        <v>0</v>
      </c>
      <c r="S103">
        <v>9</v>
      </c>
      <c r="T103">
        <v>9</v>
      </c>
      <c r="U103">
        <v>9</v>
      </c>
      <c r="V103">
        <v>0</v>
      </c>
      <c r="W103" t="s">
        <v>221</v>
      </c>
      <c r="X103" t="s">
        <v>27</v>
      </c>
    </row>
    <row r="104" spans="1:24" x14ac:dyDescent="0.3">
      <c r="A104" t="s">
        <v>22</v>
      </c>
      <c r="B104" t="s">
        <v>196</v>
      </c>
      <c r="C104" t="s">
        <v>197</v>
      </c>
      <c r="D104">
        <v>10</v>
      </c>
      <c r="E104" t="s">
        <v>710</v>
      </c>
      <c r="F104" t="s">
        <v>222</v>
      </c>
      <c r="I104" t="s">
        <v>223</v>
      </c>
      <c r="J104" t="s">
        <v>214</v>
      </c>
      <c r="L104">
        <v>6</v>
      </c>
      <c r="M104" t="s">
        <v>25</v>
      </c>
      <c r="N104">
        <v>0</v>
      </c>
      <c r="O104">
        <v>6</v>
      </c>
      <c r="P104">
        <v>6</v>
      </c>
      <c r="Q104">
        <v>3</v>
      </c>
      <c r="R104">
        <v>0</v>
      </c>
      <c r="S104">
        <v>2</v>
      </c>
      <c r="T104">
        <v>2</v>
      </c>
      <c r="U104">
        <v>2</v>
      </c>
      <c r="V104">
        <v>0</v>
      </c>
      <c r="X104" t="s">
        <v>74</v>
      </c>
    </row>
    <row r="105" spans="1:24" x14ac:dyDescent="0.3">
      <c r="A105" t="s">
        <v>22</v>
      </c>
      <c r="B105" t="s">
        <v>196</v>
      </c>
      <c r="C105" t="s">
        <v>197</v>
      </c>
      <c r="D105">
        <v>11</v>
      </c>
      <c r="E105" t="s">
        <v>710</v>
      </c>
      <c r="F105" t="s">
        <v>224</v>
      </c>
      <c r="I105" t="s">
        <v>223</v>
      </c>
      <c r="J105" t="s">
        <v>214</v>
      </c>
      <c r="L105">
        <v>6</v>
      </c>
      <c r="M105" t="s">
        <v>25</v>
      </c>
      <c r="N105">
        <v>0</v>
      </c>
      <c r="O105">
        <v>6</v>
      </c>
      <c r="P105">
        <v>6</v>
      </c>
      <c r="Q105">
        <v>3</v>
      </c>
      <c r="R105">
        <v>0</v>
      </c>
      <c r="S105">
        <v>2</v>
      </c>
      <c r="T105">
        <v>2</v>
      </c>
      <c r="U105">
        <v>2</v>
      </c>
      <c r="V105">
        <v>0</v>
      </c>
      <c r="X105" t="s">
        <v>27</v>
      </c>
    </row>
    <row r="106" spans="1:24" x14ac:dyDescent="0.3">
      <c r="A106" t="s">
        <v>22</v>
      </c>
      <c r="B106" t="s">
        <v>196</v>
      </c>
      <c r="C106" t="s">
        <v>197</v>
      </c>
      <c r="D106">
        <v>12</v>
      </c>
      <c r="E106" t="s">
        <v>710</v>
      </c>
      <c r="F106" t="s">
        <v>225</v>
      </c>
      <c r="I106" t="s">
        <v>226</v>
      </c>
      <c r="J106" t="s">
        <v>227</v>
      </c>
      <c r="L106">
        <v>3</v>
      </c>
      <c r="M106" t="s">
        <v>25</v>
      </c>
      <c r="N106">
        <v>0</v>
      </c>
      <c r="O106">
        <v>3</v>
      </c>
      <c r="P106">
        <v>3</v>
      </c>
      <c r="Q106">
        <v>3</v>
      </c>
      <c r="R106">
        <v>0</v>
      </c>
      <c r="S106">
        <v>1</v>
      </c>
      <c r="T106">
        <v>1</v>
      </c>
      <c r="U106">
        <v>1</v>
      </c>
      <c r="V106">
        <v>0</v>
      </c>
      <c r="X106" t="s">
        <v>178</v>
      </c>
    </row>
    <row r="107" spans="1:24" x14ac:dyDescent="0.3">
      <c r="A107" t="s">
        <v>22</v>
      </c>
      <c r="B107" t="s">
        <v>196</v>
      </c>
      <c r="C107" t="s">
        <v>197</v>
      </c>
      <c r="D107">
        <v>13</v>
      </c>
      <c r="E107" t="s">
        <v>710</v>
      </c>
      <c r="F107" t="s">
        <v>228</v>
      </c>
      <c r="I107" t="s">
        <v>229</v>
      </c>
      <c r="J107" t="s">
        <v>230</v>
      </c>
      <c r="L107">
        <v>12</v>
      </c>
      <c r="M107" t="s">
        <v>25</v>
      </c>
      <c r="N107">
        <v>0</v>
      </c>
      <c r="O107">
        <v>12</v>
      </c>
      <c r="P107">
        <v>12</v>
      </c>
      <c r="Q107">
        <v>1</v>
      </c>
      <c r="R107">
        <v>12</v>
      </c>
      <c r="S107">
        <v>0</v>
      </c>
      <c r="T107">
        <v>0</v>
      </c>
      <c r="U107">
        <v>0</v>
      </c>
      <c r="V107">
        <v>0</v>
      </c>
      <c r="W107" t="s">
        <v>231</v>
      </c>
      <c r="X107" t="s">
        <v>152</v>
      </c>
    </row>
    <row r="108" spans="1:24" x14ac:dyDescent="0.3">
      <c r="A108" t="s">
        <v>22</v>
      </c>
      <c r="B108" t="s">
        <v>196</v>
      </c>
      <c r="C108" t="s">
        <v>197</v>
      </c>
      <c r="D108">
        <v>14</v>
      </c>
      <c r="E108" t="s">
        <v>710</v>
      </c>
      <c r="F108" t="s">
        <v>232</v>
      </c>
      <c r="I108" t="s">
        <v>233</v>
      </c>
      <c r="J108" t="s">
        <v>214</v>
      </c>
      <c r="L108">
        <v>6</v>
      </c>
      <c r="M108" t="s">
        <v>25</v>
      </c>
      <c r="N108">
        <v>0</v>
      </c>
      <c r="O108">
        <v>6</v>
      </c>
      <c r="P108">
        <v>6</v>
      </c>
      <c r="Q108">
        <v>3</v>
      </c>
      <c r="R108">
        <v>0</v>
      </c>
      <c r="S108">
        <v>2</v>
      </c>
      <c r="T108">
        <v>2</v>
      </c>
      <c r="U108">
        <v>2</v>
      </c>
      <c r="V108">
        <v>0</v>
      </c>
      <c r="X108" t="s">
        <v>152</v>
      </c>
    </row>
    <row r="109" spans="1:24" x14ac:dyDescent="0.3">
      <c r="A109" t="s">
        <v>22</v>
      </c>
      <c r="B109" t="s">
        <v>196</v>
      </c>
      <c r="C109" t="s">
        <v>197</v>
      </c>
      <c r="D109">
        <v>15</v>
      </c>
      <c r="E109" t="s">
        <v>710</v>
      </c>
      <c r="F109" t="s">
        <v>234</v>
      </c>
      <c r="I109" t="s">
        <v>235</v>
      </c>
      <c r="J109" t="s">
        <v>236</v>
      </c>
      <c r="L109">
        <v>1</v>
      </c>
      <c r="M109" t="s">
        <v>25</v>
      </c>
      <c r="N109">
        <v>0</v>
      </c>
      <c r="O109">
        <v>1</v>
      </c>
      <c r="P109">
        <v>1</v>
      </c>
      <c r="Q109">
        <v>1</v>
      </c>
      <c r="R109">
        <v>1</v>
      </c>
      <c r="S109">
        <v>0</v>
      </c>
      <c r="T109">
        <v>0</v>
      </c>
      <c r="U109">
        <v>0</v>
      </c>
      <c r="V109">
        <v>0</v>
      </c>
      <c r="W109" t="s">
        <v>231</v>
      </c>
      <c r="X109" t="s">
        <v>27</v>
      </c>
    </row>
    <row r="110" spans="1:24" x14ac:dyDescent="0.3">
      <c r="A110" t="s">
        <v>22</v>
      </c>
      <c r="B110" t="s">
        <v>196</v>
      </c>
      <c r="C110" t="s">
        <v>197</v>
      </c>
      <c r="D110">
        <v>16</v>
      </c>
      <c r="E110" t="s">
        <v>710</v>
      </c>
      <c r="F110" t="s">
        <v>237</v>
      </c>
      <c r="I110" t="s">
        <v>238</v>
      </c>
      <c r="J110" t="s">
        <v>227</v>
      </c>
      <c r="L110">
        <v>3</v>
      </c>
      <c r="M110" t="s">
        <v>25</v>
      </c>
      <c r="N110">
        <v>0</v>
      </c>
      <c r="O110">
        <v>3</v>
      </c>
      <c r="P110">
        <v>3</v>
      </c>
      <c r="Q110">
        <v>3</v>
      </c>
      <c r="R110">
        <v>0</v>
      </c>
      <c r="S110">
        <v>1</v>
      </c>
      <c r="T110">
        <v>1</v>
      </c>
      <c r="U110">
        <v>1</v>
      </c>
      <c r="V110">
        <v>0</v>
      </c>
      <c r="X110" t="s">
        <v>74</v>
      </c>
    </row>
    <row r="111" spans="1:24" x14ac:dyDescent="0.3">
      <c r="A111" t="s">
        <v>22</v>
      </c>
      <c r="B111" t="s">
        <v>196</v>
      </c>
      <c r="C111" t="s">
        <v>197</v>
      </c>
      <c r="D111">
        <v>17</v>
      </c>
      <c r="E111" t="s">
        <v>710</v>
      </c>
      <c r="F111" t="s">
        <v>239</v>
      </c>
      <c r="J111" t="s">
        <v>24</v>
      </c>
      <c r="L111">
        <v>5</v>
      </c>
      <c r="M111" t="s">
        <v>25</v>
      </c>
      <c r="N111">
        <v>0</v>
      </c>
      <c r="O111">
        <v>5</v>
      </c>
      <c r="P111">
        <v>5</v>
      </c>
      <c r="Q111">
        <v>3</v>
      </c>
      <c r="R111">
        <v>0</v>
      </c>
      <c r="S111">
        <v>1.67</v>
      </c>
      <c r="T111">
        <v>1.67</v>
      </c>
      <c r="U111">
        <v>1.66</v>
      </c>
      <c r="V111">
        <v>0</v>
      </c>
      <c r="W111" t="s">
        <v>56</v>
      </c>
      <c r="X111" t="s">
        <v>178</v>
      </c>
    </row>
    <row r="112" spans="1:24" x14ac:dyDescent="0.3">
      <c r="A112" t="s">
        <v>22</v>
      </c>
      <c r="B112" t="s">
        <v>196</v>
      </c>
      <c r="C112" t="s">
        <v>197</v>
      </c>
      <c r="D112">
        <v>18</v>
      </c>
      <c r="E112" t="s">
        <v>710</v>
      </c>
      <c r="F112" t="s">
        <v>240</v>
      </c>
      <c r="J112" t="s">
        <v>24</v>
      </c>
      <c r="L112">
        <v>7</v>
      </c>
      <c r="M112" t="s">
        <v>25</v>
      </c>
      <c r="N112">
        <v>0</v>
      </c>
      <c r="O112">
        <v>7</v>
      </c>
      <c r="P112">
        <v>7</v>
      </c>
      <c r="Q112">
        <v>3</v>
      </c>
      <c r="R112">
        <v>0</v>
      </c>
      <c r="S112">
        <v>2.33</v>
      </c>
      <c r="T112">
        <v>2.33</v>
      </c>
      <c r="U112">
        <v>2.34</v>
      </c>
      <c r="V112">
        <v>0</v>
      </c>
      <c r="W112" t="s">
        <v>56</v>
      </c>
      <c r="X112" t="s">
        <v>178</v>
      </c>
    </row>
    <row r="113" spans="1:24" x14ac:dyDescent="0.3">
      <c r="A113" t="s">
        <v>22</v>
      </c>
      <c r="B113" t="s">
        <v>196</v>
      </c>
      <c r="C113" t="s">
        <v>241</v>
      </c>
      <c r="D113">
        <v>1</v>
      </c>
      <c r="E113" t="s">
        <v>242</v>
      </c>
      <c r="F113" t="s">
        <v>243</v>
      </c>
      <c r="G113">
        <v>410</v>
      </c>
      <c r="I113" t="s">
        <v>244</v>
      </c>
      <c r="J113" t="s">
        <v>711</v>
      </c>
      <c r="L113">
        <v>205</v>
      </c>
      <c r="M113" t="s">
        <v>25</v>
      </c>
      <c r="N113">
        <v>0</v>
      </c>
      <c r="O113">
        <v>198</v>
      </c>
      <c r="P113">
        <v>198</v>
      </c>
      <c r="Q113">
        <v>3</v>
      </c>
      <c r="R113">
        <v>0</v>
      </c>
      <c r="S113">
        <v>66</v>
      </c>
      <c r="T113">
        <v>66</v>
      </c>
      <c r="U113">
        <v>66</v>
      </c>
      <c r="V113">
        <v>0</v>
      </c>
      <c r="W113" t="s">
        <v>246</v>
      </c>
      <c r="X113" t="s">
        <v>152</v>
      </c>
    </row>
    <row r="114" spans="1:24" x14ac:dyDescent="0.3">
      <c r="A114" t="s">
        <v>22</v>
      </c>
      <c r="B114" t="s">
        <v>196</v>
      </c>
      <c r="C114" t="s">
        <v>241</v>
      </c>
      <c r="D114">
        <v>2</v>
      </c>
      <c r="E114" t="s">
        <v>242</v>
      </c>
      <c r="F114" t="s">
        <v>247</v>
      </c>
      <c r="H114">
        <v>198</v>
      </c>
      <c r="I114" t="s">
        <v>248</v>
      </c>
      <c r="J114" t="s">
        <v>245</v>
      </c>
      <c r="L114">
        <v>42</v>
      </c>
      <c r="M114" t="s">
        <v>25</v>
      </c>
      <c r="N114">
        <v>0</v>
      </c>
      <c r="O114">
        <v>42</v>
      </c>
      <c r="P114">
        <v>42</v>
      </c>
      <c r="Q114">
        <v>3</v>
      </c>
      <c r="R114">
        <v>0</v>
      </c>
      <c r="S114">
        <v>14</v>
      </c>
      <c r="T114">
        <v>14</v>
      </c>
      <c r="U114">
        <v>14</v>
      </c>
      <c r="V114">
        <v>0</v>
      </c>
      <c r="X114" t="s">
        <v>152</v>
      </c>
    </row>
    <row r="115" spans="1:24" x14ac:dyDescent="0.3">
      <c r="A115" t="s">
        <v>22</v>
      </c>
      <c r="B115" t="s">
        <v>196</v>
      </c>
      <c r="C115" t="s">
        <v>241</v>
      </c>
      <c r="D115">
        <v>3</v>
      </c>
      <c r="E115" t="s">
        <v>242</v>
      </c>
      <c r="F115" t="s">
        <v>249</v>
      </c>
      <c r="I115" t="s">
        <v>250</v>
      </c>
      <c r="J115" t="s">
        <v>251</v>
      </c>
      <c r="L115">
        <v>49</v>
      </c>
      <c r="M115" t="s">
        <v>62</v>
      </c>
      <c r="N115">
        <v>24</v>
      </c>
      <c r="O115">
        <v>25</v>
      </c>
      <c r="P115">
        <v>49</v>
      </c>
      <c r="Q115">
        <v>1</v>
      </c>
      <c r="R115">
        <v>49</v>
      </c>
      <c r="S115">
        <v>0</v>
      </c>
      <c r="T115">
        <v>0</v>
      </c>
      <c r="U115">
        <v>0</v>
      </c>
      <c r="V115">
        <v>0</v>
      </c>
      <c r="W115" t="s">
        <v>252</v>
      </c>
      <c r="X115" t="s">
        <v>27</v>
      </c>
    </row>
    <row r="116" spans="1:24" x14ac:dyDescent="0.3">
      <c r="A116" t="s">
        <v>22</v>
      </c>
      <c r="B116" t="s">
        <v>196</v>
      </c>
      <c r="C116" t="s">
        <v>241</v>
      </c>
      <c r="D116">
        <v>4</v>
      </c>
      <c r="E116" t="s">
        <v>242</v>
      </c>
      <c r="F116" t="s">
        <v>222</v>
      </c>
      <c r="I116" t="s">
        <v>253</v>
      </c>
      <c r="J116" t="s">
        <v>712</v>
      </c>
      <c r="L116">
        <v>15</v>
      </c>
      <c r="M116" t="s">
        <v>25</v>
      </c>
      <c r="N116">
        <v>0</v>
      </c>
      <c r="O116">
        <v>14</v>
      </c>
      <c r="P116">
        <v>14</v>
      </c>
      <c r="Q116">
        <v>3</v>
      </c>
      <c r="R116">
        <v>0</v>
      </c>
      <c r="S116">
        <v>4.67</v>
      </c>
      <c r="T116">
        <v>4.67</v>
      </c>
      <c r="U116">
        <v>4.66</v>
      </c>
      <c r="V116">
        <v>0</v>
      </c>
      <c r="X116" t="s">
        <v>74</v>
      </c>
    </row>
    <row r="117" spans="1:24" x14ac:dyDescent="0.3">
      <c r="A117" t="s">
        <v>22</v>
      </c>
      <c r="B117" t="s">
        <v>196</v>
      </c>
      <c r="C117" t="s">
        <v>241</v>
      </c>
      <c r="D117">
        <v>5</v>
      </c>
      <c r="E117" t="s">
        <v>242</v>
      </c>
      <c r="F117" t="s">
        <v>254</v>
      </c>
      <c r="I117" t="s">
        <v>255</v>
      </c>
      <c r="J117" t="s">
        <v>713</v>
      </c>
      <c r="L117">
        <v>12</v>
      </c>
      <c r="M117" t="s">
        <v>25</v>
      </c>
      <c r="N117">
        <v>0</v>
      </c>
      <c r="O117">
        <v>12</v>
      </c>
      <c r="P117">
        <v>12</v>
      </c>
      <c r="Q117">
        <v>3</v>
      </c>
      <c r="R117">
        <v>0</v>
      </c>
      <c r="S117">
        <v>4</v>
      </c>
      <c r="T117">
        <v>4</v>
      </c>
      <c r="U117">
        <v>4</v>
      </c>
      <c r="V117">
        <v>0</v>
      </c>
      <c r="X117" t="s">
        <v>74</v>
      </c>
    </row>
    <row r="118" spans="1:24" x14ac:dyDescent="0.3">
      <c r="A118" t="s">
        <v>22</v>
      </c>
      <c r="B118" t="s">
        <v>196</v>
      </c>
      <c r="C118" t="s">
        <v>241</v>
      </c>
      <c r="D118">
        <v>6</v>
      </c>
      <c r="E118" t="s">
        <v>242</v>
      </c>
      <c r="F118" t="s">
        <v>256</v>
      </c>
      <c r="I118" t="s">
        <v>255</v>
      </c>
      <c r="J118" t="s">
        <v>713</v>
      </c>
      <c r="L118">
        <v>12</v>
      </c>
      <c r="M118" t="s">
        <v>25</v>
      </c>
      <c r="N118">
        <v>0</v>
      </c>
      <c r="O118">
        <v>12</v>
      </c>
      <c r="P118">
        <v>12</v>
      </c>
      <c r="Q118">
        <v>3</v>
      </c>
      <c r="R118">
        <v>0</v>
      </c>
      <c r="S118">
        <v>4</v>
      </c>
      <c r="T118">
        <v>4</v>
      </c>
      <c r="U118">
        <v>4</v>
      </c>
      <c r="V118">
        <v>0</v>
      </c>
      <c r="X118" t="s">
        <v>74</v>
      </c>
    </row>
    <row r="119" spans="1:24" x14ac:dyDescent="0.3">
      <c r="A119" t="s">
        <v>22</v>
      </c>
      <c r="B119" t="s">
        <v>196</v>
      </c>
      <c r="C119" t="s">
        <v>241</v>
      </c>
      <c r="D119">
        <v>7</v>
      </c>
      <c r="E119" t="s">
        <v>242</v>
      </c>
      <c r="F119" t="s">
        <v>257</v>
      </c>
      <c r="I119" t="s">
        <v>258</v>
      </c>
      <c r="J119" t="s">
        <v>259</v>
      </c>
      <c r="L119">
        <v>10</v>
      </c>
      <c r="M119" t="s">
        <v>25</v>
      </c>
      <c r="N119">
        <v>0</v>
      </c>
      <c r="O119">
        <v>10</v>
      </c>
      <c r="P119">
        <v>10</v>
      </c>
      <c r="Q119">
        <v>3</v>
      </c>
      <c r="R119">
        <v>1</v>
      </c>
      <c r="S119">
        <v>3</v>
      </c>
      <c r="T119">
        <v>3</v>
      </c>
      <c r="U119">
        <v>3</v>
      </c>
      <c r="V119">
        <v>0</v>
      </c>
      <c r="X119" t="s">
        <v>27</v>
      </c>
    </row>
    <row r="120" spans="1:24" x14ac:dyDescent="0.3">
      <c r="A120" t="s">
        <v>22</v>
      </c>
      <c r="B120" t="s">
        <v>196</v>
      </c>
      <c r="C120" t="s">
        <v>241</v>
      </c>
      <c r="D120">
        <v>8</v>
      </c>
      <c r="E120" t="s">
        <v>242</v>
      </c>
      <c r="F120" t="s">
        <v>260</v>
      </c>
      <c r="I120" t="s">
        <v>261</v>
      </c>
      <c r="J120" t="s">
        <v>262</v>
      </c>
      <c r="L120">
        <v>11</v>
      </c>
      <c r="M120" t="s">
        <v>25</v>
      </c>
      <c r="N120">
        <v>0</v>
      </c>
      <c r="O120">
        <v>11</v>
      </c>
      <c r="P120">
        <v>11</v>
      </c>
      <c r="Q120">
        <v>2</v>
      </c>
      <c r="R120">
        <v>0</v>
      </c>
      <c r="S120">
        <v>5.5</v>
      </c>
      <c r="T120">
        <v>5.5</v>
      </c>
      <c r="U120">
        <v>0</v>
      </c>
      <c r="V120">
        <v>0</v>
      </c>
      <c r="W120" t="s">
        <v>263</v>
      </c>
      <c r="X120" t="s">
        <v>27</v>
      </c>
    </row>
    <row r="121" spans="1:24" x14ac:dyDescent="0.3">
      <c r="A121" t="s">
        <v>22</v>
      </c>
      <c r="B121" t="s">
        <v>196</v>
      </c>
      <c r="C121" t="s">
        <v>241</v>
      </c>
      <c r="D121">
        <v>9</v>
      </c>
      <c r="E121" t="s">
        <v>242</v>
      </c>
      <c r="F121" t="s">
        <v>264</v>
      </c>
      <c r="I121" t="s">
        <v>265</v>
      </c>
      <c r="J121" t="s">
        <v>227</v>
      </c>
      <c r="L121">
        <v>3</v>
      </c>
      <c r="M121" t="s">
        <v>25</v>
      </c>
      <c r="N121">
        <v>0</v>
      </c>
      <c r="O121">
        <v>3</v>
      </c>
      <c r="P121">
        <v>3</v>
      </c>
      <c r="Q121">
        <v>3</v>
      </c>
      <c r="R121">
        <v>0</v>
      </c>
      <c r="S121">
        <v>1</v>
      </c>
      <c r="T121">
        <v>1</v>
      </c>
      <c r="U121">
        <v>1</v>
      </c>
      <c r="V121">
        <v>0</v>
      </c>
      <c r="X121" t="s">
        <v>27</v>
      </c>
    </row>
    <row r="122" spans="1:24" x14ac:dyDescent="0.3">
      <c r="A122" t="s">
        <v>22</v>
      </c>
      <c r="B122" t="s">
        <v>196</v>
      </c>
      <c r="C122" t="s">
        <v>241</v>
      </c>
      <c r="D122">
        <v>10</v>
      </c>
      <c r="E122" t="s">
        <v>242</v>
      </c>
      <c r="F122" t="s">
        <v>266</v>
      </c>
      <c r="I122" t="s">
        <v>267</v>
      </c>
      <c r="J122" t="s">
        <v>714</v>
      </c>
      <c r="L122">
        <v>33</v>
      </c>
      <c r="M122" t="s">
        <v>25</v>
      </c>
      <c r="N122">
        <v>0</v>
      </c>
      <c r="O122">
        <v>33</v>
      </c>
      <c r="P122">
        <v>33</v>
      </c>
      <c r="Q122">
        <v>3</v>
      </c>
      <c r="R122">
        <v>0</v>
      </c>
      <c r="S122">
        <v>11</v>
      </c>
      <c r="T122">
        <v>11</v>
      </c>
      <c r="U122">
        <v>11</v>
      </c>
      <c r="V122">
        <v>0</v>
      </c>
      <c r="X122" t="s">
        <v>152</v>
      </c>
    </row>
    <row r="123" spans="1:24" x14ac:dyDescent="0.3">
      <c r="A123" t="s">
        <v>22</v>
      </c>
      <c r="B123" t="s">
        <v>196</v>
      </c>
      <c r="C123" t="s">
        <v>241</v>
      </c>
      <c r="D123">
        <v>11</v>
      </c>
      <c r="E123" t="s">
        <v>242</v>
      </c>
      <c r="F123" t="s">
        <v>268</v>
      </c>
      <c r="I123" t="s">
        <v>229</v>
      </c>
      <c r="J123" t="s">
        <v>269</v>
      </c>
      <c r="L123">
        <v>22</v>
      </c>
      <c r="M123" t="s">
        <v>25</v>
      </c>
      <c r="N123">
        <v>0</v>
      </c>
      <c r="O123">
        <v>22</v>
      </c>
      <c r="P123">
        <v>22</v>
      </c>
      <c r="Q123">
        <v>1</v>
      </c>
      <c r="R123">
        <v>22</v>
      </c>
      <c r="S123">
        <v>0</v>
      </c>
      <c r="T123">
        <v>0</v>
      </c>
      <c r="U123">
        <v>0</v>
      </c>
      <c r="V123">
        <v>0</v>
      </c>
      <c r="W123" t="s">
        <v>231</v>
      </c>
      <c r="X123" t="s">
        <v>152</v>
      </c>
    </row>
    <row r="124" spans="1:24" x14ac:dyDescent="0.3">
      <c r="A124" t="s">
        <v>22</v>
      </c>
      <c r="B124" t="s">
        <v>196</v>
      </c>
      <c r="C124" t="s">
        <v>241</v>
      </c>
      <c r="D124">
        <v>12</v>
      </c>
      <c r="E124" t="s">
        <v>242</v>
      </c>
      <c r="F124" t="s">
        <v>270</v>
      </c>
      <c r="I124" t="s">
        <v>271</v>
      </c>
      <c r="J124" t="s">
        <v>236</v>
      </c>
      <c r="L124">
        <v>1</v>
      </c>
      <c r="M124" t="s">
        <v>25</v>
      </c>
      <c r="N124">
        <v>0</v>
      </c>
      <c r="O124">
        <v>1</v>
      </c>
      <c r="P124">
        <v>1</v>
      </c>
      <c r="Q124">
        <v>1</v>
      </c>
      <c r="R124">
        <v>1</v>
      </c>
      <c r="S124">
        <v>0</v>
      </c>
      <c r="T124">
        <v>0</v>
      </c>
      <c r="U124">
        <v>0</v>
      </c>
      <c r="V124">
        <v>0</v>
      </c>
      <c r="W124" t="s">
        <v>231</v>
      </c>
      <c r="X124" t="s">
        <v>27</v>
      </c>
    </row>
    <row r="125" spans="1:24" x14ac:dyDescent="0.3">
      <c r="A125" t="s">
        <v>22</v>
      </c>
      <c r="B125" t="s">
        <v>196</v>
      </c>
      <c r="C125" t="s">
        <v>241</v>
      </c>
      <c r="D125">
        <v>13</v>
      </c>
      <c r="E125" t="s">
        <v>242</v>
      </c>
      <c r="F125" t="s">
        <v>272</v>
      </c>
      <c r="I125" t="s">
        <v>271</v>
      </c>
      <c r="J125" t="s">
        <v>236</v>
      </c>
      <c r="L125">
        <v>1</v>
      </c>
      <c r="M125" t="s">
        <v>25</v>
      </c>
      <c r="N125">
        <v>0</v>
      </c>
      <c r="O125">
        <v>1</v>
      </c>
      <c r="P125">
        <v>1</v>
      </c>
      <c r="Q125">
        <v>1</v>
      </c>
      <c r="R125">
        <v>1</v>
      </c>
      <c r="S125">
        <v>0</v>
      </c>
      <c r="T125">
        <v>0</v>
      </c>
      <c r="U125">
        <v>0</v>
      </c>
      <c r="V125">
        <v>0</v>
      </c>
      <c r="W125" t="s">
        <v>231</v>
      </c>
      <c r="X125" t="s">
        <v>27</v>
      </c>
    </row>
    <row r="126" spans="1:24" x14ac:dyDescent="0.3">
      <c r="A126" t="s">
        <v>22</v>
      </c>
      <c r="B126" t="s">
        <v>196</v>
      </c>
      <c r="C126" t="s">
        <v>241</v>
      </c>
      <c r="D126">
        <v>14</v>
      </c>
      <c r="E126" t="s">
        <v>242</v>
      </c>
      <c r="F126" t="s">
        <v>273</v>
      </c>
      <c r="I126" t="s">
        <v>274</v>
      </c>
      <c r="J126" t="s">
        <v>275</v>
      </c>
      <c r="L126">
        <v>9</v>
      </c>
      <c r="M126" t="s">
        <v>25</v>
      </c>
      <c r="N126">
        <v>0</v>
      </c>
      <c r="O126">
        <v>9</v>
      </c>
      <c r="P126">
        <v>9</v>
      </c>
      <c r="Q126">
        <v>3</v>
      </c>
      <c r="R126">
        <v>0</v>
      </c>
      <c r="S126">
        <v>3</v>
      </c>
      <c r="T126">
        <v>3</v>
      </c>
      <c r="U126">
        <v>3</v>
      </c>
      <c r="V126">
        <v>0</v>
      </c>
      <c r="X126" t="s">
        <v>27</v>
      </c>
    </row>
    <row r="127" spans="1:24" x14ac:dyDescent="0.3">
      <c r="A127" t="s">
        <v>22</v>
      </c>
      <c r="B127" t="s">
        <v>196</v>
      </c>
      <c r="C127" t="s">
        <v>241</v>
      </c>
      <c r="D127">
        <v>15</v>
      </c>
      <c r="E127" t="s">
        <v>242</v>
      </c>
      <c r="F127" t="s">
        <v>276</v>
      </c>
      <c r="I127" t="s">
        <v>277</v>
      </c>
      <c r="J127" t="s">
        <v>278</v>
      </c>
      <c r="L127">
        <v>2</v>
      </c>
      <c r="M127" t="s">
        <v>25</v>
      </c>
      <c r="N127">
        <v>0</v>
      </c>
      <c r="O127">
        <v>2</v>
      </c>
      <c r="P127">
        <v>2</v>
      </c>
      <c r="Q127">
        <v>1</v>
      </c>
      <c r="R127">
        <v>2</v>
      </c>
      <c r="S127">
        <v>0</v>
      </c>
      <c r="T127">
        <v>0</v>
      </c>
      <c r="U127">
        <v>0</v>
      </c>
      <c r="V127">
        <v>0</v>
      </c>
      <c r="W127" t="s">
        <v>231</v>
      </c>
      <c r="X127" t="s">
        <v>27</v>
      </c>
    </row>
    <row r="128" spans="1:24" x14ac:dyDescent="0.3">
      <c r="A128" t="s">
        <v>22</v>
      </c>
      <c r="B128" t="s">
        <v>196</v>
      </c>
      <c r="C128" t="s">
        <v>241</v>
      </c>
      <c r="D128">
        <v>16</v>
      </c>
      <c r="E128" t="s">
        <v>242</v>
      </c>
      <c r="F128" t="s">
        <v>279</v>
      </c>
      <c r="I128" t="s">
        <v>280</v>
      </c>
      <c r="J128" t="s">
        <v>715</v>
      </c>
      <c r="L128">
        <v>21</v>
      </c>
      <c r="M128" t="s">
        <v>115</v>
      </c>
      <c r="N128">
        <v>20</v>
      </c>
      <c r="O128">
        <v>0</v>
      </c>
      <c r="P128">
        <v>20</v>
      </c>
      <c r="Q128">
        <v>3</v>
      </c>
      <c r="R128">
        <v>0</v>
      </c>
      <c r="S128">
        <v>6.67</v>
      </c>
      <c r="T128">
        <v>6.67</v>
      </c>
      <c r="U128">
        <v>6.66</v>
      </c>
      <c r="V128">
        <v>0</v>
      </c>
      <c r="X128" t="s">
        <v>27</v>
      </c>
    </row>
    <row r="129" spans="1:24" x14ac:dyDescent="0.3">
      <c r="A129" t="s">
        <v>22</v>
      </c>
      <c r="B129" t="s">
        <v>196</v>
      </c>
      <c r="C129" t="s">
        <v>241</v>
      </c>
      <c r="D129">
        <v>17</v>
      </c>
      <c r="E129" t="s">
        <v>242</v>
      </c>
      <c r="F129" t="s">
        <v>281</v>
      </c>
      <c r="I129" t="s">
        <v>282</v>
      </c>
      <c r="J129" t="s">
        <v>716</v>
      </c>
      <c r="L129">
        <v>9</v>
      </c>
      <c r="M129" t="s">
        <v>25</v>
      </c>
      <c r="N129">
        <v>0</v>
      </c>
      <c r="O129">
        <v>10</v>
      </c>
      <c r="P129">
        <v>10</v>
      </c>
      <c r="Q129">
        <v>3</v>
      </c>
      <c r="R129">
        <v>0</v>
      </c>
      <c r="S129">
        <v>3.33</v>
      </c>
      <c r="T129">
        <v>3.33</v>
      </c>
      <c r="U129">
        <v>3.34</v>
      </c>
      <c r="V129">
        <v>0</v>
      </c>
      <c r="X129" t="s">
        <v>27</v>
      </c>
    </row>
    <row r="130" spans="1:24" x14ac:dyDescent="0.3">
      <c r="A130" t="s">
        <v>22</v>
      </c>
      <c r="B130" t="s">
        <v>196</v>
      </c>
      <c r="C130" t="s">
        <v>283</v>
      </c>
      <c r="D130">
        <v>1</v>
      </c>
      <c r="E130" t="s">
        <v>284</v>
      </c>
      <c r="F130" t="s">
        <v>285</v>
      </c>
      <c r="G130">
        <v>2</v>
      </c>
      <c r="I130" t="s">
        <v>286</v>
      </c>
      <c r="J130" t="s">
        <v>275</v>
      </c>
      <c r="L130">
        <v>9</v>
      </c>
      <c r="M130" t="s">
        <v>25</v>
      </c>
      <c r="N130">
        <v>0</v>
      </c>
      <c r="O130">
        <v>9</v>
      </c>
      <c r="P130">
        <v>9</v>
      </c>
      <c r="Q130">
        <v>3</v>
      </c>
      <c r="R130">
        <v>0</v>
      </c>
      <c r="S130">
        <v>3</v>
      </c>
      <c r="T130">
        <v>3</v>
      </c>
      <c r="U130">
        <v>3</v>
      </c>
      <c r="V130">
        <v>0</v>
      </c>
      <c r="X130" t="s">
        <v>27</v>
      </c>
    </row>
    <row r="131" spans="1:24" x14ac:dyDescent="0.3">
      <c r="A131" t="s">
        <v>22</v>
      </c>
      <c r="B131" t="s">
        <v>196</v>
      </c>
      <c r="C131" t="s">
        <v>283</v>
      </c>
      <c r="D131">
        <v>37</v>
      </c>
      <c r="E131" t="s">
        <v>284</v>
      </c>
      <c r="F131" t="s">
        <v>287</v>
      </c>
      <c r="I131" t="s">
        <v>213</v>
      </c>
      <c r="J131" t="s">
        <v>214</v>
      </c>
      <c r="L131">
        <v>6</v>
      </c>
      <c r="M131" t="s">
        <v>25</v>
      </c>
      <c r="N131">
        <v>0</v>
      </c>
      <c r="O131">
        <v>6</v>
      </c>
      <c r="P131">
        <v>6</v>
      </c>
      <c r="Q131">
        <v>3</v>
      </c>
      <c r="R131">
        <v>0</v>
      </c>
      <c r="S131">
        <v>2</v>
      </c>
      <c r="T131">
        <v>2</v>
      </c>
      <c r="U131">
        <v>2</v>
      </c>
      <c r="V131">
        <v>0</v>
      </c>
      <c r="X131" t="s">
        <v>74</v>
      </c>
    </row>
    <row r="132" spans="1:24" x14ac:dyDescent="0.3">
      <c r="A132" t="s">
        <v>22</v>
      </c>
      <c r="B132" t="s">
        <v>196</v>
      </c>
      <c r="C132" t="s">
        <v>283</v>
      </c>
      <c r="D132">
        <v>3</v>
      </c>
      <c r="E132" t="s">
        <v>288</v>
      </c>
      <c r="F132" t="s">
        <v>285</v>
      </c>
      <c r="G132">
        <v>2</v>
      </c>
      <c r="I132" t="s">
        <v>286</v>
      </c>
      <c r="J132" t="s">
        <v>275</v>
      </c>
      <c r="L132">
        <v>9</v>
      </c>
      <c r="M132" t="s">
        <v>25</v>
      </c>
      <c r="N132">
        <v>0</v>
      </c>
      <c r="O132">
        <v>9</v>
      </c>
      <c r="P132">
        <v>9</v>
      </c>
      <c r="Q132">
        <v>3</v>
      </c>
      <c r="R132">
        <v>0</v>
      </c>
      <c r="S132">
        <v>3</v>
      </c>
      <c r="T132">
        <v>3</v>
      </c>
      <c r="U132">
        <v>3</v>
      </c>
      <c r="V132">
        <v>0</v>
      </c>
      <c r="X132" t="s">
        <v>27</v>
      </c>
    </row>
    <row r="133" spans="1:24" x14ac:dyDescent="0.3">
      <c r="A133" t="s">
        <v>22</v>
      </c>
      <c r="B133" t="s">
        <v>196</v>
      </c>
      <c r="C133" t="s">
        <v>283</v>
      </c>
      <c r="D133">
        <v>4</v>
      </c>
      <c r="E133" t="s">
        <v>288</v>
      </c>
      <c r="F133" t="s">
        <v>287</v>
      </c>
      <c r="I133" t="s">
        <v>213</v>
      </c>
      <c r="J133" t="s">
        <v>214</v>
      </c>
      <c r="L133">
        <v>6</v>
      </c>
      <c r="M133" t="s">
        <v>25</v>
      </c>
      <c r="N133">
        <v>0</v>
      </c>
      <c r="O133">
        <v>6</v>
      </c>
      <c r="P133">
        <v>6</v>
      </c>
      <c r="Q133">
        <v>3</v>
      </c>
      <c r="R133">
        <v>0</v>
      </c>
      <c r="S133">
        <v>2</v>
      </c>
      <c r="T133">
        <v>2</v>
      </c>
      <c r="U133">
        <v>2</v>
      </c>
      <c r="V133">
        <v>0</v>
      </c>
      <c r="X133" t="s">
        <v>74</v>
      </c>
    </row>
    <row r="134" spans="1:24" x14ac:dyDescent="0.3">
      <c r="A134" t="s">
        <v>22</v>
      </c>
      <c r="B134" t="s">
        <v>196</v>
      </c>
      <c r="C134" t="s">
        <v>283</v>
      </c>
      <c r="D134">
        <v>5</v>
      </c>
      <c r="E134" t="s">
        <v>289</v>
      </c>
      <c r="F134" t="s">
        <v>285</v>
      </c>
      <c r="G134">
        <v>2</v>
      </c>
      <c r="I134" t="s">
        <v>286</v>
      </c>
      <c r="J134" t="s">
        <v>290</v>
      </c>
      <c r="L134">
        <v>18</v>
      </c>
      <c r="M134" t="s">
        <v>25</v>
      </c>
      <c r="N134">
        <v>0</v>
      </c>
      <c r="O134">
        <v>18</v>
      </c>
      <c r="P134">
        <v>18</v>
      </c>
      <c r="Q134">
        <v>3</v>
      </c>
      <c r="R134">
        <v>0</v>
      </c>
      <c r="S134">
        <v>6</v>
      </c>
      <c r="T134">
        <v>6</v>
      </c>
      <c r="U134">
        <v>6</v>
      </c>
      <c r="V134">
        <v>0</v>
      </c>
      <c r="W134" t="s">
        <v>291</v>
      </c>
      <c r="X134" t="s">
        <v>152</v>
      </c>
    </row>
    <row r="135" spans="1:24" x14ac:dyDescent="0.3">
      <c r="A135" t="s">
        <v>22</v>
      </c>
      <c r="B135" t="s">
        <v>196</v>
      </c>
      <c r="C135" t="s">
        <v>283</v>
      </c>
      <c r="D135">
        <v>6</v>
      </c>
      <c r="E135" t="s">
        <v>289</v>
      </c>
      <c r="F135" t="s">
        <v>287</v>
      </c>
      <c r="I135" t="s">
        <v>286</v>
      </c>
      <c r="J135" t="s">
        <v>290</v>
      </c>
      <c r="L135">
        <v>18</v>
      </c>
      <c r="M135" t="s">
        <v>25</v>
      </c>
      <c r="N135">
        <v>0</v>
      </c>
      <c r="O135">
        <v>18</v>
      </c>
      <c r="P135">
        <v>18</v>
      </c>
      <c r="Q135">
        <v>3</v>
      </c>
      <c r="R135">
        <v>0</v>
      </c>
      <c r="S135">
        <v>6</v>
      </c>
      <c r="T135">
        <v>6</v>
      </c>
      <c r="U135">
        <v>6</v>
      </c>
      <c r="V135">
        <v>0</v>
      </c>
      <c r="W135" t="s">
        <v>291</v>
      </c>
      <c r="X135" t="s">
        <v>74</v>
      </c>
    </row>
    <row r="136" spans="1:24" x14ac:dyDescent="0.3">
      <c r="A136" t="s">
        <v>22</v>
      </c>
      <c r="B136" t="s">
        <v>196</v>
      </c>
      <c r="C136" t="s">
        <v>283</v>
      </c>
      <c r="D136">
        <v>7</v>
      </c>
      <c r="E136" t="s">
        <v>289</v>
      </c>
      <c r="F136" t="s">
        <v>292</v>
      </c>
      <c r="I136" t="s">
        <v>293</v>
      </c>
      <c r="J136" t="s">
        <v>290</v>
      </c>
      <c r="L136">
        <v>18</v>
      </c>
      <c r="M136" t="s">
        <v>25</v>
      </c>
      <c r="N136">
        <v>0</v>
      </c>
      <c r="O136">
        <v>18</v>
      </c>
      <c r="P136">
        <v>18</v>
      </c>
      <c r="Q136">
        <v>3</v>
      </c>
      <c r="R136">
        <v>0</v>
      </c>
      <c r="S136">
        <v>6</v>
      </c>
      <c r="T136">
        <v>6</v>
      </c>
      <c r="U136">
        <v>6</v>
      </c>
      <c r="V136">
        <v>0</v>
      </c>
      <c r="W136" t="s">
        <v>291</v>
      </c>
      <c r="X136" t="s">
        <v>178</v>
      </c>
    </row>
    <row r="137" spans="1:24" x14ac:dyDescent="0.3">
      <c r="A137" t="s">
        <v>22</v>
      </c>
      <c r="B137" t="s">
        <v>196</v>
      </c>
      <c r="C137" t="s">
        <v>283</v>
      </c>
      <c r="D137">
        <v>8</v>
      </c>
      <c r="E137" t="s">
        <v>289</v>
      </c>
      <c r="F137" t="s">
        <v>55</v>
      </c>
      <c r="I137" t="s">
        <v>294</v>
      </c>
      <c r="J137" t="s">
        <v>227</v>
      </c>
      <c r="L137">
        <v>3</v>
      </c>
      <c r="M137" t="s">
        <v>25</v>
      </c>
      <c r="N137">
        <v>0</v>
      </c>
      <c r="O137">
        <v>3</v>
      </c>
      <c r="P137">
        <v>3</v>
      </c>
      <c r="Q137">
        <v>3</v>
      </c>
      <c r="R137">
        <v>0</v>
      </c>
      <c r="S137">
        <v>1</v>
      </c>
      <c r="T137">
        <v>1</v>
      </c>
      <c r="U137">
        <v>1</v>
      </c>
      <c r="V137">
        <v>0</v>
      </c>
      <c r="X137" t="s">
        <v>152</v>
      </c>
    </row>
    <row r="138" spans="1:24" x14ac:dyDescent="0.3">
      <c r="A138" t="s">
        <v>22</v>
      </c>
      <c r="B138" t="s">
        <v>196</v>
      </c>
      <c r="C138" t="s">
        <v>295</v>
      </c>
      <c r="D138">
        <v>1</v>
      </c>
      <c r="E138" t="s">
        <v>296</v>
      </c>
      <c r="F138" t="s">
        <v>285</v>
      </c>
      <c r="G138">
        <v>2</v>
      </c>
      <c r="I138" t="s">
        <v>297</v>
      </c>
      <c r="J138" t="s">
        <v>298</v>
      </c>
      <c r="L138">
        <v>12</v>
      </c>
      <c r="M138" t="s">
        <v>25</v>
      </c>
      <c r="N138">
        <v>0</v>
      </c>
      <c r="O138">
        <v>12</v>
      </c>
      <c r="P138">
        <v>12</v>
      </c>
      <c r="Q138">
        <v>3</v>
      </c>
      <c r="R138">
        <v>0</v>
      </c>
      <c r="S138">
        <v>4</v>
      </c>
      <c r="T138">
        <v>4</v>
      </c>
      <c r="U138">
        <v>4</v>
      </c>
      <c r="V138">
        <v>0</v>
      </c>
      <c r="X138" t="s">
        <v>27</v>
      </c>
    </row>
    <row r="139" spans="1:24" x14ac:dyDescent="0.3">
      <c r="A139" t="s">
        <v>22</v>
      </c>
      <c r="B139" t="s">
        <v>196</v>
      </c>
      <c r="C139" t="s">
        <v>295</v>
      </c>
      <c r="D139">
        <v>2</v>
      </c>
      <c r="E139" t="s">
        <v>296</v>
      </c>
      <c r="F139" t="s">
        <v>287</v>
      </c>
      <c r="I139" t="s">
        <v>286</v>
      </c>
      <c r="J139" t="s">
        <v>298</v>
      </c>
      <c r="L139">
        <v>12</v>
      </c>
      <c r="M139" t="s">
        <v>25</v>
      </c>
      <c r="N139">
        <v>0</v>
      </c>
      <c r="O139">
        <v>12</v>
      </c>
      <c r="P139">
        <v>12</v>
      </c>
      <c r="Q139">
        <v>3</v>
      </c>
      <c r="R139">
        <v>0</v>
      </c>
      <c r="S139">
        <v>4</v>
      </c>
      <c r="T139">
        <v>4</v>
      </c>
      <c r="U139">
        <v>4</v>
      </c>
      <c r="V139">
        <v>0</v>
      </c>
      <c r="W139" t="s">
        <v>299</v>
      </c>
      <c r="X139" t="s">
        <v>74</v>
      </c>
    </row>
    <row r="140" spans="1:24" x14ac:dyDescent="0.3">
      <c r="A140" t="s">
        <v>22</v>
      </c>
      <c r="B140" t="s">
        <v>196</v>
      </c>
      <c r="C140" t="s">
        <v>295</v>
      </c>
      <c r="D140">
        <v>3</v>
      </c>
      <c r="E140" t="s">
        <v>296</v>
      </c>
      <c r="F140" t="s">
        <v>292</v>
      </c>
      <c r="I140" t="s">
        <v>293</v>
      </c>
      <c r="J140" t="s">
        <v>275</v>
      </c>
      <c r="L140">
        <v>9</v>
      </c>
      <c r="M140" t="s">
        <v>25</v>
      </c>
      <c r="N140">
        <v>0</v>
      </c>
      <c r="O140">
        <v>9</v>
      </c>
      <c r="P140">
        <v>9</v>
      </c>
      <c r="Q140">
        <v>3</v>
      </c>
      <c r="R140">
        <v>0</v>
      </c>
      <c r="S140">
        <v>3</v>
      </c>
      <c r="T140">
        <v>3</v>
      </c>
      <c r="U140">
        <v>3</v>
      </c>
      <c r="V140">
        <v>0</v>
      </c>
      <c r="X140" t="s">
        <v>178</v>
      </c>
    </row>
    <row r="141" spans="1:24" x14ac:dyDescent="0.3">
      <c r="A141" t="s">
        <v>22</v>
      </c>
      <c r="B141" t="s">
        <v>196</v>
      </c>
      <c r="C141" t="s">
        <v>295</v>
      </c>
      <c r="D141">
        <v>4</v>
      </c>
      <c r="E141" t="s">
        <v>300</v>
      </c>
      <c r="F141" t="s">
        <v>285</v>
      </c>
      <c r="G141">
        <v>1</v>
      </c>
      <c r="I141" t="s">
        <v>213</v>
      </c>
      <c r="J141" t="s">
        <v>214</v>
      </c>
      <c r="L141">
        <v>6</v>
      </c>
      <c r="M141" t="s">
        <v>25</v>
      </c>
      <c r="N141">
        <v>0</v>
      </c>
      <c r="O141">
        <v>6</v>
      </c>
      <c r="P141">
        <v>6</v>
      </c>
      <c r="Q141">
        <v>3</v>
      </c>
      <c r="R141">
        <v>0</v>
      </c>
      <c r="S141">
        <v>2</v>
      </c>
      <c r="T141">
        <v>2</v>
      </c>
      <c r="U141">
        <v>2</v>
      </c>
      <c r="V141">
        <v>0</v>
      </c>
      <c r="X141" t="s">
        <v>27</v>
      </c>
    </row>
    <row r="142" spans="1:24" x14ac:dyDescent="0.3">
      <c r="A142" t="s">
        <v>22</v>
      </c>
      <c r="B142" t="s">
        <v>196</v>
      </c>
      <c r="C142" t="s">
        <v>295</v>
      </c>
      <c r="D142">
        <v>5</v>
      </c>
      <c r="E142" t="s">
        <v>300</v>
      </c>
      <c r="F142" t="s">
        <v>287</v>
      </c>
      <c r="I142" t="s">
        <v>301</v>
      </c>
      <c r="J142" t="s">
        <v>227</v>
      </c>
      <c r="L142">
        <v>3</v>
      </c>
      <c r="M142" t="s">
        <v>25</v>
      </c>
      <c r="N142">
        <v>0</v>
      </c>
      <c r="O142">
        <v>3</v>
      </c>
      <c r="P142">
        <v>3</v>
      </c>
      <c r="Q142">
        <v>3</v>
      </c>
      <c r="R142">
        <v>0</v>
      </c>
      <c r="S142">
        <v>1</v>
      </c>
      <c r="T142">
        <v>1</v>
      </c>
      <c r="U142">
        <v>1</v>
      </c>
      <c r="V142">
        <v>0</v>
      </c>
      <c r="X142" t="s">
        <v>74</v>
      </c>
    </row>
    <row r="143" spans="1:24" x14ac:dyDescent="0.3">
      <c r="A143" t="s">
        <v>22</v>
      </c>
      <c r="B143" t="s">
        <v>196</v>
      </c>
      <c r="C143" t="s">
        <v>295</v>
      </c>
      <c r="D143">
        <v>6</v>
      </c>
      <c r="E143" t="s">
        <v>300</v>
      </c>
      <c r="F143" t="s">
        <v>292</v>
      </c>
      <c r="I143" t="s">
        <v>302</v>
      </c>
      <c r="J143" t="s">
        <v>227</v>
      </c>
      <c r="L143">
        <v>3</v>
      </c>
      <c r="M143" t="s">
        <v>25</v>
      </c>
      <c r="N143">
        <v>0</v>
      </c>
      <c r="O143">
        <v>3</v>
      </c>
      <c r="P143">
        <v>3</v>
      </c>
      <c r="Q143">
        <v>3</v>
      </c>
      <c r="R143">
        <v>0</v>
      </c>
      <c r="S143">
        <v>1</v>
      </c>
      <c r="T143">
        <v>1</v>
      </c>
      <c r="U143">
        <v>1</v>
      </c>
      <c r="V143">
        <v>0</v>
      </c>
      <c r="X143" t="s">
        <v>178</v>
      </c>
    </row>
    <row r="144" spans="1:24" x14ac:dyDescent="0.3">
      <c r="A144" t="s">
        <v>22</v>
      </c>
      <c r="B144" t="s">
        <v>196</v>
      </c>
      <c r="C144" t="s">
        <v>295</v>
      </c>
      <c r="D144">
        <v>7</v>
      </c>
      <c r="E144" t="s">
        <v>303</v>
      </c>
      <c r="F144" t="s">
        <v>285</v>
      </c>
      <c r="G144">
        <v>1</v>
      </c>
      <c r="I144" t="s">
        <v>213</v>
      </c>
      <c r="J144" t="s">
        <v>214</v>
      </c>
      <c r="L144">
        <v>6</v>
      </c>
      <c r="M144" t="s">
        <v>25</v>
      </c>
      <c r="N144">
        <v>0</v>
      </c>
      <c r="O144">
        <v>6</v>
      </c>
      <c r="P144">
        <v>6</v>
      </c>
      <c r="Q144">
        <v>3</v>
      </c>
      <c r="R144">
        <v>0</v>
      </c>
      <c r="S144">
        <v>2</v>
      </c>
      <c r="T144">
        <v>2</v>
      </c>
      <c r="U144">
        <v>2</v>
      </c>
      <c r="V144">
        <v>0</v>
      </c>
      <c r="X144" t="s">
        <v>27</v>
      </c>
    </row>
    <row r="145" spans="1:24" x14ac:dyDescent="0.3">
      <c r="A145" t="s">
        <v>22</v>
      </c>
      <c r="B145" t="s">
        <v>196</v>
      </c>
      <c r="C145" t="s">
        <v>295</v>
      </c>
      <c r="D145">
        <v>8</v>
      </c>
      <c r="E145" t="s">
        <v>303</v>
      </c>
      <c r="F145" t="s">
        <v>287</v>
      </c>
      <c r="I145" t="s">
        <v>301</v>
      </c>
      <c r="J145" t="s">
        <v>227</v>
      </c>
      <c r="L145">
        <v>3</v>
      </c>
      <c r="M145" t="s">
        <v>25</v>
      </c>
      <c r="N145">
        <v>0</v>
      </c>
      <c r="O145">
        <v>3</v>
      </c>
      <c r="P145">
        <v>3</v>
      </c>
      <c r="Q145">
        <v>3</v>
      </c>
      <c r="R145">
        <v>0</v>
      </c>
      <c r="S145">
        <v>1</v>
      </c>
      <c r="T145">
        <v>1</v>
      </c>
      <c r="U145">
        <v>1</v>
      </c>
      <c r="V145">
        <v>0</v>
      </c>
      <c r="X145" t="s">
        <v>74</v>
      </c>
    </row>
    <row r="146" spans="1:24" x14ac:dyDescent="0.3">
      <c r="A146" t="s">
        <v>22</v>
      </c>
      <c r="B146" t="s">
        <v>196</v>
      </c>
      <c r="C146" t="s">
        <v>295</v>
      </c>
      <c r="D146">
        <v>9</v>
      </c>
      <c r="E146" t="s">
        <v>303</v>
      </c>
      <c r="F146" t="s">
        <v>292</v>
      </c>
      <c r="I146" t="s">
        <v>302</v>
      </c>
      <c r="J146" t="s">
        <v>227</v>
      </c>
      <c r="L146">
        <v>3</v>
      </c>
      <c r="M146" t="s">
        <v>25</v>
      </c>
      <c r="N146">
        <v>0</v>
      </c>
      <c r="O146">
        <v>3</v>
      </c>
      <c r="P146">
        <v>3</v>
      </c>
      <c r="Q146">
        <v>3</v>
      </c>
      <c r="R146">
        <v>0</v>
      </c>
      <c r="S146">
        <v>1</v>
      </c>
      <c r="T146">
        <v>1</v>
      </c>
      <c r="U146">
        <v>1</v>
      </c>
      <c r="V146">
        <v>0</v>
      </c>
      <c r="X146" t="s">
        <v>178</v>
      </c>
    </row>
    <row r="147" spans="1:24" x14ac:dyDescent="0.3">
      <c r="A147" t="s">
        <v>22</v>
      </c>
      <c r="B147" t="s">
        <v>196</v>
      </c>
      <c r="C147" t="s">
        <v>295</v>
      </c>
      <c r="D147">
        <v>10</v>
      </c>
      <c r="E147" t="s">
        <v>304</v>
      </c>
      <c r="F147" t="s">
        <v>285</v>
      </c>
      <c r="G147">
        <v>1</v>
      </c>
      <c r="I147" t="s">
        <v>301</v>
      </c>
      <c r="J147" t="s">
        <v>305</v>
      </c>
      <c r="L147">
        <v>2</v>
      </c>
      <c r="M147" t="s">
        <v>25</v>
      </c>
      <c r="N147">
        <v>0</v>
      </c>
      <c r="O147">
        <v>2</v>
      </c>
      <c r="P147">
        <v>2</v>
      </c>
      <c r="Q147">
        <v>2</v>
      </c>
      <c r="R147">
        <v>0</v>
      </c>
      <c r="S147">
        <v>1</v>
      </c>
      <c r="T147">
        <v>1</v>
      </c>
      <c r="U147">
        <v>0</v>
      </c>
      <c r="V147">
        <v>0</v>
      </c>
      <c r="X147" t="s">
        <v>27</v>
      </c>
    </row>
    <row r="148" spans="1:24" x14ac:dyDescent="0.3">
      <c r="A148" t="s">
        <v>22</v>
      </c>
      <c r="B148" t="s">
        <v>196</v>
      </c>
      <c r="C148" t="s">
        <v>295</v>
      </c>
      <c r="D148">
        <v>11</v>
      </c>
      <c r="E148" t="s">
        <v>306</v>
      </c>
      <c r="F148" t="s">
        <v>292</v>
      </c>
      <c r="I148" t="s">
        <v>301</v>
      </c>
      <c r="J148" t="s">
        <v>305</v>
      </c>
      <c r="L148">
        <v>2</v>
      </c>
      <c r="M148" t="s">
        <v>25</v>
      </c>
      <c r="N148">
        <v>0</v>
      </c>
      <c r="O148">
        <v>2</v>
      </c>
      <c r="P148">
        <v>2</v>
      </c>
      <c r="Q148">
        <v>2</v>
      </c>
      <c r="R148">
        <v>0</v>
      </c>
      <c r="S148">
        <v>1</v>
      </c>
      <c r="T148">
        <v>1</v>
      </c>
      <c r="U148">
        <v>0</v>
      </c>
      <c r="V148">
        <v>0</v>
      </c>
      <c r="X148" t="s">
        <v>178</v>
      </c>
    </row>
    <row r="149" spans="1:24" x14ac:dyDescent="0.3">
      <c r="A149" t="s">
        <v>22</v>
      </c>
      <c r="B149" t="s">
        <v>196</v>
      </c>
      <c r="C149" t="s">
        <v>295</v>
      </c>
      <c r="D149">
        <v>12</v>
      </c>
      <c r="E149" t="s">
        <v>237</v>
      </c>
      <c r="F149" t="s">
        <v>237</v>
      </c>
      <c r="I149" t="s">
        <v>307</v>
      </c>
      <c r="J149" t="s">
        <v>236</v>
      </c>
      <c r="L149">
        <v>1</v>
      </c>
      <c r="M149" t="s">
        <v>25</v>
      </c>
      <c r="N149">
        <v>0</v>
      </c>
      <c r="O149">
        <v>1</v>
      </c>
      <c r="P149">
        <v>1</v>
      </c>
      <c r="Q149">
        <v>1</v>
      </c>
      <c r="R149">
        <v>1</v>
      </c>
      <c r="S149">
        <v>0</v>
      </c>
      <c r="T149">
        <v>0</v>
      </c>
      <c r="U149">
        <v>0</v>
      </c>
      <c r="V149">
        <v>0</v>
      </c>
      <c r="W149" t="s">
        <v>231</v>
      </c>
      <c r="X149" t="s">
        <v>27</v>
      </c>
    </row>
    <row r="150" spans="1:24" x14ac:dyDescent="0.3">
      <c r="A150" t="s">
        <v>22</v>
      </c>
      <c r="B150" t="s">
        <v>196</v>
      </c>
      <c r="C150" t="s">
        <v>295</v>
      </c>
      <c r="D150">
        <v>13</v>
      </c>
      <c r="E150" t="s">
        <v>237</v>
      </c>
      <c r="F150" t="s">
        <v>55</v>
      </c>
      <c r="J150" t="s">
        <v>24</v>
      </c>
      <c r="L150">
        <v>3</v>
      </c>
      <c r="M150" t="s">
        <v>25</v>
      </c>
      <c r="N150">
        <v>0</v>
      </c>
      <c r="O150">
        <v>3</v>
      </c>
      <c r="P150">
        <v>3</v>
      </c>
      <c r="Q150">
        <v>3</v>
      </c>
      <c r="R150">
        <v>0</v>
      </c>
      <c r="S150">
        <v>1</v>
      </c>
      <c r="T150">
        <v>1</v>
      </c>
      <c r="U150">
        <v>1</v>
      </c>
      <c r="V150">
        <v>0</v>
      </c>
      <c r="W150" t="s">
        <v>56</v>
      </c>
      <c r="X150" t="s">
        <v>27</v>
      </c>
    </row>
    <row r="151" spans="1:24" x14ac:dyDescent="0.3">
      <c r="A151" t="s">
        <v>22</v>
      </c>
      <c r="B151" t="s">
        <v>196</v>
      </c>
      <c r="C151" t="s">
        <v>308</v>
      </c>
      <c r="D151">
        <v>1</v>
      </c>
      <c r="E151" t="s">
        <v>308</v>
      </c>
      <c r="F151" t="s">
        <v>31</v>
      </c>
      <c r="I151" t="s">
        <v>301</v>
      </c>
      <c r="J151" t="s">
        <v>227</v>
      </c>
      <c r="L151">
        <v>3</v>
      </c>
      <c r="M151" t="s">
        <v>25</v>
      </c>
      <c r="N151">
        <v>0</v>
      </c>
      <c r="O151">
        <v>3</v>
      </c>
      <c r="P151">
        <v>3</v>
      </c>
      <c r="Q151">
        <v>3</v>
      </c>
      <c r="R151">
        <v>0</v>
      </c>
      <c r="S151">
        <v>1</v>
      </c>
      <c r="T151">
        <v>1</v>
      </c>
      <c r="U151">
        <v>1</v>
      </c>
      <c r="V151">
        <v>0</v>
      </c>
      <c r="X151" t="s">
        <v>27</v>
      </c>
    </row>
    <row r="152" spans="1:24" x14ac:dyDescent="0.3">
      <c r="A152" t="s">
        <v>22</v>
      </c>
      <c r="B152" t="s">
        <v>196</v>
      </c>
      <c r="C152" t="s">
        <v>308</v>
      </c>
      <c r="D152">
        <v>2</v>
      </c>
      <c r="E152" t="s">
        <v>308</v>
      </c>
      <c r="F152" t="s">
        <v>287</v>
      </c>
      <c r="I152" t="s">
        <v>301</v>
      </c>
      <c r="J152" t="s">
        <v>227</v>
      </c>
      <c r="L152">
        <v>3</v>
      </c>
      <c r="M152" t="s">
        <v>25</v>
      </c>
      <c r="N152">
        <v>0</v>
      </c>
      <c r="O152">
        <v>3</v>
      </c>
      <c r="P152">
        <v>3</v>
      </c>
      <c r="Q152">
        <v>3</v>
      </c>
      <c r="R152">
        <v>0</v>
      </c>
      <c r="S152">
        <v>1</v>
      </c>
      <c r="T152">
        <v>1</v>
      </c>
      <c r="U152">
        <v>1</v>
      </c>
      <c r="V152">
        <v>0</v>
      </c>
      <c r="X152" t="s">
        <v>74</v>
      </c>
    </row>
    <row r="153" spans="1:24" x14ac:dyDescent="0.3">
      <c r="A153" t="s">
        <v>22</v>
      </c>
      <c r="B153" t="s">
        <v>196</v>
      </c>
      <c r="C153" t="s">
        <v>308</v>
      </c>
      <c r="D153">
        <v>3</v>
      </c>
      <c r="E153" t="s">
        <v>308</v>
      </c>
      <c r="F153" t="s">
        <v>292</v>
      </c>
      <c r="I153" t="s">
        <v>302</v>
      </c>
      <c r="J153" t="s">
        <v>309</v>
      </c>
      <c r="L153">
        <v>4</v>
      </c>
      <c r="M153" t="s">
        <v>62</v>
      </c>
      <c r="N153">
        <v>1</v>
      </c>
      <c r="O153">
        <v>3</v>
      </c>
      <c r="P153">
        <v>4</v>
      </c>
      <c r="Q153">
        <v>3</v>
      </c>
      <c r="R153">
        <v>0</v>
      </c>
      <c r="S153">
        <v>1.33</v>
      </c>
      <c r="T153">
        <v>1.33</v>
      </c>
      <c r="U153">
        <v>1.34</v>
      </c>
      <c r="V153">
        <v>0</v>
      </c>
      <c r="W153" t="s">
        <v>310</v>
      </c>
      <c r="X153" t="s">
        <v>178</v>
      </c>
    </row>
    <row r="154" spans="1:24" x14ac:dyDescent="0.3">
      <c r="A154" t="s">
        <v>22</v>
      </c>
      <c r="B154" t="s">
        <v>196</v>
      </c>
      <c r="C154" t="s">
        <v>311</v>
      </c>
      <c r="D154">
        <v>1</v>
      </c>
      <c r="E154" t="s">
        <v>311</v>
      </c>
      <c r="F154" t="s">
        <v>31</v>
      </c>
      <c r="J154" t="s">
        <v>24</v>
      </c>
      <c r="L154">
        <v>10</v>
      </c>
      <c r="M154" t="s">
        <v>25</v>
      </c>
      <c r="N154">
        <v>0</v>
      </c>
      <c r="O154">
        <v>10</v>
      </c>
      <c r="P154">
        <v>10</v>
      </c>
      <c r="Q154">
        <v>3</v>
      </c>
      <c r="R154">
        <v>0</v>
      </c>
      <c r="S154">
        <v>3.33</v>
      </c>
      <c r="T154">
        <v>3.33</v>
      </c>
      <c r="U154">
        <v>3.34</v>
      </c>
      <c r="V154">
        <v>0</v>
      </c>
      <c r="W154" t="s">
        <v>56</v>
      </c>
      <c r="X154" t="s">
        <v>27</v>
      </c>
    </row>
    <row r="155" spans="1:24" x14ac:dyDescent="0.3">
      <c r="A155" t="s">
        <v>22</v>
      </c>
      <c r="B155" t="s">
        <v>196</v>
      </c>
      <c r="C155" t="s">
        <v>312</v>
      </c>
      <c r="D155">
        <v>1</v>
      </c>
      <c r="E155" t="s">
        <v>313</v>
      </c>
      <c r="F155" t="s">
        <v>31</v>
      </c>
      <c r="G155">
        <v>3</v>
      </c>
      <c r="I155" t="s">
        <v>314</v>
      </c>
      <c r="J155" t="s">
        <v>290</v>
      </c>
      <c r="L155">
        <v>18</v>
      </c>
      <c r="M155" t="s">
        <v>25</v>
      </c>
      <c r="N155">
        <v>0</v>
      </c>
      <c r="O155">
        <v>18</v>
      </c>
      <c r="P155">
        <v>18</v>
      </c>
      <c r="Q155">
        <v>3</v>
      </c>
      <c r="R155">
        <v>0</v>
      </c>
      <c r="S155">
        <v>6</v>
      </c>
      <c r="T155">
        <v>6</v>
      </c>
      <c r="U155">
        <v>6</v>
      </c>
      <c r="V155">
        <v>0</v>
      </c>
      <c r="X155" t="s">
        <v>27</v>
      </c>
    </row>
    <row r="156" spans="1:24" x14ac:dyDescent="0.3">
      <c r="A156" t="s">
        <v>22</v>
      </c>
      <c r="B156" t="s">
        <v>196</v>
      </c>
      <c r="C156" t="s">
        <v>312</v>
      </c>
      <c r="D156">
        <v>2</v>
      </c>
      <c r="E156" t="s">
        <v>313</v>
      </c>
      <c r="F156" t="s">
        <v>287</v>
      </c>
      <c r="I156" t="s">
        <v>297</v>
      </c>
      <c r="J156" t="s">
        <v>298</v>
      </c>
      <c r="L156">
        <v>12</v>
      </c>
      <c r="M156" t="s">
        <v>25</v>
      </c>
      <c r="N156">
        <v>0</v>
      </c>
      <c r="O156">
        <v>12</v>
      </c>
      <c r="P156">
        <v>12</v>
      </c>
      <c r="Q156">
        <v>3</v>
      </c>
      <c r="R156">
        <v>0</v>
      </c>
      <c r="S156">
        <v>4</v>
      </c>
      <c r="T156">
        <v>4</v>
      </c>
      <c r="U156">
        <v>4</v>
      </c>
      <c r="V156">
        <v>0</v>
      </c>
      <c r="X156" t="s">
        <v>74</v>
      </c>
    </row>
    <row r="157" spans="1:24" x14ac:dyDescent="0.3">
      <c r="A157" t="s">
        <v>22</v>
      </c>
      <c r="B157" t="s">
        <v>196</v>
      </c>
      <c r="C157" t="s">
        <v>312</v>
      </c>
      <c r="D157">
        <v>3</v>
      </c>
      <c r="E157" t="s">
        <v>313</v>
      </c>
      <c r="F157" t="s">
        <v>292</v>
      </c>
      <c r="I157" t="s">
        <v>302</v>
      </c>
      <c r="J157" t="s">
        <v>275</v>
      </c>
      <c r="L157">
        <v>9</v>
      </c>
      <c r="M157" t="s">
        <v>62</v>
      </c>
      <c r="N157">
        <v>6</v>
      </c>
      <c r="O157">
        <v>3</v>
      </c>
      <c r="P157">
        <v>9</v>
      </c>
      <c r="Q157">
        <v>3</v>
      </c>
      <c r="R157">
        <v>0</v>
      </c>
      <c r="S157">
        <v>3</v>
      </c>
      <c r="T157">
        <v>3</v>
      </c>
      <c r="U157">
        <v>3</v>
      </c>
      <c r="V157">
        <v>0</v>
      </c>
      <c r="W157" t="s">
        <v>315</v>
      </c>
      <c r="X157" t="s">
        <v>178</v>
      </c>
    </row>
    <row r="158" spans="1:24" x14ac:dyDescent="0.3">
      <c r="A158" t="s">
        <v>22</v>
      </c>
      <c r="B158" t="s">
        <v>196</v>
      </c>
      <c r="C158" t="s">
        <v>312</v>
      </c>
      <c r="D158">
        <v>4</v>
      </c>
      <c r="E158" t="s">
        <v>316</v>
      </c>
      <c r="F158" t="s">
        <v>31</v>
      </c>
      <c r="G158">
        <v>1</v>
      </c>
      <c r="I158" t="s">
        <v>213</v>
      </c>
      <c r="J158" t="s">
        <v>214</v>
      </c>
      <c r="L158">
        <v>6</v>
      </c>
      <c r="M158" t="s">
        <v>25</v>
      </c>
      <c r="N158">
        <v>0</v>
      </c>
      <c r="O158">
        <v>6</v>
      </c>
      <c r="P158">
        <v>6</v>
      </c>
      <c r="Q158">
        <v>3</v>
      </c>
      <c r="R158">
        <v>0</v>
      </c>
      <c r="S158">
        <v>2</v>
      </c>
      <c r="T158">
        <v>2</v>
      </c>
      <c r="U158">
        <v>2</v>
      </c>
      <c r="V158">
        <v>0</v>
      </c>
      <c r="X158" t="s">
        <v>27</v>
      </c>
    </row>
    <row r="159" spans="1:24" x14ac:dyDescent="0.3">
      <c r="A159" t="s">
        <v>22</v>
      </c>
      <c r="B159" t="s">
        <v>196</v>
      </c>
      <c r="C159" t="s">
        <v>312</v>
      </c>
      <c r="D159">
        <v>5</v>
      </c>
      <c r="E159" t="s">
        <v>316</v>
      </c>
      <c r="F159" t="s">
        <v>287</v>
      </c>
      <c r="I159" t="s">
        <v>301</v>
      </c>
      <c r="J159" t="s">
        <v>227</v>
      </c>
      <c r="L159">
        <v>3</v>
      </c>
      <c r="M159" t="s">
        <v>25</v>
      </c>
      <c r="N159">
        <v>0</v>
      </c>
      <c r="O159">
        <v>3</v>
      </c>
      <c r="P159">
        <v>3</v>
      </c>
      <c r="Q159">
        <v>3</v>
      </c>
      <c r="R159">
        <v>0</v>
      </c>
      <c r="S159">
        <v>1</v>
      </c>
      <c r="T159">
        <v>1</v>
      </c>
      <c r="U159">
        <v>1</v>
      </c>
      <c r="V159">
        <v>0</v>
      </c>
      <c r="X159" t="s">
        <v>74</v>
      </c>
    </row>
    <row r="160" spans="1:24" x14ac:dyDescent="0.3">
      <c r="A160" t="s">
        <v>22</v>
      </c>
      <c r="B160" t="s">
        <v>196</v>
      </c>
      <c r="C160" t="s">
        <v>312</v>
      </c>
      <c r="D160">
        <v>6</v>
      </c>
      <c r="E160" t="s">
        <v>316</v>
      </c>
      <c r="F160" t="s">
        <v>292</v>
      </c>
      <c r="I160" t="s">
        <v>302</v>
      </c>
      <c r="J160" t="s">
        <v>309</v>
      </c>
      <c r="L160">
        <v>4</v>
      </c>
      <c r="M160" t="s">
        <v>62</v>
      </c>
      <c r="N160">
        <v>1</v>
      </c>
      <c r="O160">
        <v>3</v>
      </c>
      <c r="P160">
        <v>4</v>
      </c>
      <c r="Q160">
        <v>3</v>
      </c>
      <c r="R160">
        <v>0</v>
      </c>
      <c r="S160">
        <v>1.33</v>
      </c>
      <c r="T160">
        <v>1.33</v>
      </c>
      <c r="U160">
        <v>1.34</v>
      </c>
      <c r="V160">
        <v>0</v>
      </c>
      <c r="W160" t="s">
        <v>310</v>
      </c>
      <c r="X160" t="s">
        <v>178</v>
      </c>
    </row>
    <row r="161" spans="1:24" x14ac:dyDescent="0.3">
      <c r="A161" t="s">
        <v>22</v>
      </c>
      <c r="B161" t="s">
        <v>196</v>
      </c>
      <c r="C161" t="s">
        <v>312</v>
      </c>
      <c r="D161">
        <v>7</v>
      </c>
      <c r="E161" t="s">
        <v>317</v>
      </c>
      <c r="F161" t="s">
        <v>31</v>
      </c>
      <c r="G161">
        <v>2</v>
      </c>
      <c r="I161" t="s">
        <v>297</v>
      </c>
      <c r="J161" t="s">
        <v>298</v>
      </c>
      <c r="L161">
        <v>12</v>
      </c>
      <c r="M161" t="s">
        <v>25</v>
      </c>
      <c r="N161">
        <v>0</v>
      </c>
      <c r="O161">
        <v>12</v>
      </c>
      <c r="P161">
        <v>12</v>
      </c>
      <c r="Q161">
        <v>3</v>
      </c>
      <c r="R161">
        <v>0</v>
      </c>
      <c r="S161">
        <v>4</v>
      </c>
      <c r="T161">
        <v>4</v>
      </c>
      <c r="U161">
        <v>4</v>
      </c>
      <c r="V161">
        <v>0</v>
      </c>
      <c r="X161" t="s">
        <v>27</v>
      </c>
    </row>
    <row r="162" spans="1:24" x14ac:dyDescent="0.3">
      <c r="A162" t="s">
        <v>22</v>
      </c>
      <c r="B162" t="s">
        <v>196</v>
      </c>
      <c r="C162" t="s">
        <v>312</v>
      </c>
      <c r="D162">
        <v>8</v>
      </c>
      <c r="E162" t="s">
        <v>317</v>
      </c>
      <c r="F162" t="s">
        <v>287</v>
      </c>
      <c r="I162" t="s">
        <v>213</v>
      </c>
      <c r="J162" t="s">
        <v>214</v>
      </c>
      <c r="L162">
        <v>6</v>
      </c>
      <c r="M162" t="s">
        <v>62</v>
      </c>
      <c r="N162">
        <v>1</v>
      </c>
      <c r="O162">
        <v>5</v>
      </c>
      <c r="P162">
        <v>6</v>
      </c>
      <c r="Q162">
        <v>3</v>
      </c>
      <c r="R162">
        <v>0</v>
      </c>
      <c r="S162">
        <v>2</v>
      </c>
      <c r="T162">
        <v>2</v>
      </c>
      <c r="U162">
        <v>2</v>
      </c>
      <c r="V162">
        <v>0</v>
      </c>
      <c r="X162" t="s">
        <v>74</v>
      </c>
    </row>
    <row r="163" spans="1:24" x14ac:dyDescent="0.3">
      <c r="A163" t="s">
        <v>22</v>
      </c>
      <c r="B163" t="s">
        <v>196</v>
      </c>
      <c r="C163" t="s">
        <v>312</v>
      </c>
      <c r="D163">
        <v>9</v>
      </c>
      <c r="E163" t="s">
        <v>317</v>
      </c>
      <c r="F163" t="s">
        <v>292</v>
      </c>
      <c r="I163" t="s">
        <v>213</v>
      </c>
      <c r="J163" t="s">
        <v>214</v>
      </c>
      <c r="L163">
        <v>6</v>
      </c>
      <c r="M163" t="s">
        <v>25</v>
      </c>
      <c r="N163">
        <v>0</v>
      </c>
      <c r="O163">
        <v>6</v>
      </c>
      <c r="P163">
        <v>6</v>
      </c>
      <c r="Q163">
        <v>3</v>
      </c>
      <c r="R163">
        <v>0</v>
      </c>
      <c r="S163">
        <v>2</v>
      </c>
      <c r="T163">
        <v>2</v>
      </c>
      <c r="U163">
        <v>2</v>
      </c>
      <c r="V163">
        <v>0</v>
      </c>
      <c r="X163" t="s">
        <v>178</v>
      </c>
    </row>
    <row r="164" spans="1:24" x14ac:dyDescent="0.3">
      <c r="A164" t="s">
        <v>22</v>
      </c>
      <c r="B164" t="s">
        <v>196</v>
      </c>
      <c r="C164" t="s">
        <v>312</v>
      </c>
      <c r="D164">
        <v>10</v>
      </c>
      <c r="E164" t="s">
        <v>318</v>
      </c>
      <c r="F164" t="s">
        <v>31</v>
      </c>
      <c r="I164" t="s">
        <v>297</v>
      </c>
      <c r="J164" t="s">
        <v>298</v>
      </c>
      <c r="L164">
        <v>12</v>
      </c>
      <c r="M164" t="s">
        <v>25</v>
      </c>
      <c r="N164">
        <v>0</v>
      </c>
      <c r="O164">
        <v>12</v>
      </c>
      <c r="P164">
        <v>12</v>
      </c>
      <c r="Q164">
        <v>3</v>
      </c>
      <c r="R164">
        <v>0</v>
      </c>
      <c r="S164">
        <v>4</v>
      </c>
      <c r="T164">
        <v>4</v>
      </c>
      <c r="U164">
        <v>4</v>
      </c>
      <c r="V164">
        <v>0</v>
      </c>
      <c r="X164" t="s">
        <v>27</v>
      </c>
    </row>
    <row r="165" spans="1:24" x14ac:dyDescent="0.3">
      <c r="A165" t="s">
        <v>22</v>
      </c>
      <c r="B165" t="s">
        <v>196</v>
      </c>
      <c r="C165" t="s">
        <v>312</v>
      </c>
      <c r="D165">
        <v>11</v>
      </c>
      <c r="E165" t="s">
        <v>318</v>
      </c>
      <c r="F165" t="s">
        <v>55</v>
      </c>
      <c r="I165" t="s">
        <v>301</v>
      </c>
      <c r="J165" t="s">
        <v>227</v>
      </c>
      <c r="L165">
        <v>3</v>
      </c>
      <c r="M165" t="s">
        <v>25</v>
      </c>
      <c r="N165">
        <v>0</v>
      </c>
      <c r="O165">
        <v>3</v>
      </c>
      <c r="P165">
        <v>3</v>
      </c>
      <c r="Q165">
        <v>3</v>
      </c>
      <c r="R165">
        <v>0</v>
      </c>
      <c r="S165">
        <v>1</v>
      </c>
      <c r="T165">
        <v>1</v>
      </c>
      <c r="U165">
        <v>1</v>
      </c>
      <c r="V165">
        <v>0</v>
      </c>
      <c r="X165" t="s">
        <v>27</v>
      </c>
    </row>
    <row r="166" spans="1:24" x14ac:dyDescent="0.3">
      <c r="A166" t="s">
        <v>22</v>
      </c>
      <c r="B166" t="s">
        <v>196</v>
      </c>
      <c r="C166" t="s">
        <v>312</v>
      </c>
      <c r="D166">
        <v>12</v>
      </c>
      <c r="E166" t="s">
        <v>318</v>
      </c>
      <c r="F166" t="s">
        <v>319</v>
      </c>
      <c r="I166" t="s">
        <v>307</v>
      </c>
      <c r="J166" t="s">
        <v>236</v>
      </c>
      <c r="L166">
        <v>1</v>
      </c>
      <c r="M166" t="s">
        <v>25</v>
      </c>
      <c r="N166">
        <v>0</v>
      </c>
      <c r="O166">
        <v>1</v>
      </c>
      <c r="P166">
        <v>1</v>
      </c>
      <c r="Q166">
        <v>1</v>
      </c>
      <c r="R166">
        <v>1</v>
      </c>
      <c r="S166">
        <v>0</v>
      </c>
      <c r="T166">
        <v>0</v>
      </c>
      <c r="U166">
        <v>0</v>
      </c>
      <c r="V166">
        <v>0</v>
      </c>
      <c r="W166" t="s">
        <v>231</v>
      </c>
      <c r="X166" t="s">
        <v>152</v>
      </c>
    </row>
    <row r="167" spans="1:24" x14ac:dyDescent="0.3">
      <c r="A167" t="s">
        <v>22</v>
      </c>
      <c r="B167" t="s">
        <v>196</v>
      </c>
      <c r="C167" t="s">
        <v>320</v>
      </c>
      <c r="D167">
        <v>1</v>
      </c>
      <c r="E167" t="s">
        <v>321</v>
      </c>
      <c r="F167" t="s">
        <v>31</v>
      </c>
      <c r="G167">
        <v>1</v>
      </c>
      <c r="I167" t="s">
        <v>322</v>
      </c>
      <c r="J167" t="s">
        <v>323</v>
      </c>
      <c r="L167">
        <v>5</v>
      </c>
      <c r="M167" t="s">
        <v>25</v>
      </c>
      <c r="N167">
        <v>0</v>
      </c>
      <c r="O167">
        <v>5</v>
      </c>
      <c r="P167">
        <v>5</v>
      </c>
      <c r="Q167">
        <v>3</v>
      </c>
      <c r="R167">
        <v>0</v>
      </c>
      <c r="S167">
        <v>1.67</v>
      </c>
      <c r="T167">
        <v>1.67</v>
      </c>
      <c r="U167">
        <v>1.66</v>
      </c>
      <c r="V167">
        <v>0</v>
      </c>
      <c r="W167" t="s">
        <v>324</v>
      </c>
      <c r="X167" t="s">
        <v>27</v>
      </c>
    </row>
    <row r="168" spans="1:24" x14ac:dyDescent="0.3">
      <c r="A168" t="s">
        <v>22</v>
      </c>
      <c r="B168" t="s">
        <v>196</v>
      </c>
      <c r="C168" t="s">
        <v>320</v>
      </c>
      <c r="D168">
        <v>2</v>
      </c>
      <c r="E168" t="s">
        <v>325</v>
      </c>
      <c r="F168" t="s">
        <v>31</v>
      </c>
      <c r="G168">
        <v>1</v>
      </c>
      <c r="I168" t="s">
        <v>326</v>
      </c>
      <c r="J168" t="s">
        <v>214</v>
      </c>
      <c r="L168">
        <v>6</v>
      </c>
      <c r="M168" t="s">
        <v>25</v>
      </c>
      <c r="N168">
        <v>0</v>
      </c>
      <c r="O168">
        <v>6</v>
      </c>
      <c r="P168">
        <v>6</v>
      </c>
      <c r="Q168">
        <v>3</v>
      </c>
      <c r="R168">
        <v>0</v>
      </c>
      <c r="S168">
        <v>2</v>
      </c>
      <c r="T168">
        <v>2</v>
      </c>
      <c r="U168">
        <v>2</v>
      </c>
      <c r="V168">
        <v>0</v>
      </c>
      <c r="X168" t="s">
        <v>27</v>
      </c>
    </row>
    <row r="169" spans="1:24" x14ac:dyDescent="0.3">
      <c r="A169" t="s">
        <v>22</v>
      </c>
      <c r="B169" t="s">
        <v>196</v>
      </c>
      <c r="C169" t="s">
        <v>320</v>
      </c>
      <c r="D169">
        <v>3</v>
      </c>
      <c r="E169" t="s">
        <v>327</v>
      </c>
      <c r="F169" t="s">
        <v>31</v>
      </c>
      <c r="G169">
        <v>1</v>
      </c>
      <c r="I169" t="s">
        <v>301</v>
      </c>
      <c r="J169" t="s">
        <v>227</v>
      </c>
      <c r="L169">
        <v>3</v>
      </c>
      <c r="M169" t="s">
        <v>25</v>
      </c>
      <c r="N169">
        <v>0</v>
      </c>
      <c r="O169">
        <v>3</v>
      </c>
      <c r="P169">
        <v>3</v>
      </c>
      <c r="Q169">
        <v>3</v>
      </c>
      <c r="R169">
        <v>0</v>
      </c>
      <c r="S169">
        <v>1</v>
      </c>
      <c r="T169">
        <v>1</v>
      </c>
      <c r="U169">
        <v>1</v>
      </c>
      <c r="V169">
        <v>0</v>
      </c>
      <c r="X169" t="s">
        <v>27</v>
      </c>
    </row>
    <row r="170" spans="1:24" x14ac:dyDescent="0.3">
      <c r="A170" t="s">
        <v>22</v>
      </c>
      <c r="B170" t="s">
        <v>196</v>
      </c>
      <c r="C170" t="s">
        <v>320</v>
      </c>
      <c r="D170">
        <v>4</v>
      </c>
      <c r="E170" t="s">
        <v>327</v>
      </c>
      <c r="F170" t="s">
        <v>292</v>
      </c>
      <c r="I170" t="s">
        <v>302</v>
      </c>
      <c r="J170" t="s">
        <v>227</v>
      </c>
      <c r="L170">
        <v>3</v>
      </c>
      <c r="M170" t="s">
        <v>62</v>
      </c>
      <c r="N170">
        <v>1</v>
      </c>
      <c r="O170">
        <v>2</v>
      </c>
      <c r="P170">
        <v>3</v>
      </c>
      <c r="Q170">
        <v>3</v>
      </c>
      <c r="R170">
        <v>0</v>
      </c>
      <c r="S170">
        <v>1</v>
      </c>
      <c r="T170">
        <v>1</v>
      </c>
      <c r="U170">
        <v>1</v>
      </c>
      <c r="V170">
        <v>0</v>
      </c>
      <c r="X170" t="s">
        <v>178</v>
      </c>
    </row>
    <row r="171" spans="1:24" x14ac:dyDescent="0.3">
      <c r="A171" t="s">
        <v>22</v>
      </c>
      <c r="B171" t="s">
        <v>196</v>
      </c>
      <c r="C171" t="s">
        <v>320</v>
      </c>
      <c r="D171">
        <v>5</v>
      </c>
      <c r="E171" t="s">
        <v>327</v>
      </c>
      <c r="F171" t="s">
        <v>328</v>
      </c>
      <c r="I171" t="s">
        <v>329</v>
      </c>
      <c r="J171" t="s">
        <v>227</v>
      </c>
      <c r="L171">
        <v>3</v>
      </c>
      <c r="M171" t="s">
        <v>25</v>
      </c>
      <c r="N171">
        <v>0</v>
      </c>
      <c r="O171">
        <v>3</v>
      </c>
      <c r="P171">
        <v>3</v>
      </c>
      <c r="Q171">
        <v>3</v>
      </c>
      <c r="R171">
        <v>0</v>
      </c>
      <c r="S171">
        <v>1</v>
      </c>
      <c r="T171">
        <v>1</v>
      </c>
      <c r="U171">
        <v>1</v>
      </c>
      <c r="V171">
        <v>0</v>
      </c>
      <c r="X171" t="s">
        <v>27</v>
      </c>
    </row>
    <row r="172" spans="1:24" x14ac:dyDescent="0.3">
      <c r="A172" t="s">
        <v>22</v>
      </c>
      <c r="B172" t="s">
        <v>196</v>
      </c>
      <c r="C172" t="s">
        <v>320</v>
      </c>
      <c r="D172">
        <v>6</v>
      </c>
      <c r="E172" t="s">
        <v>330</v>
      </c>
      <c r="F172" t="s">
        <v>31</v>
      </c>
      <c r="I172" t="s">
        <v>307</v>
      </c>
      <c r="J172" t="s">
        <v>236</v>
      </c>
      <c r="L172">
        <v>1</v>
      </c>
      <c r="M172" t="s">
        <v>25</v>
      </c>
      <c r="N172">
        <v>0</v>
      </c>
      <c r="O172">
        <v>1</v>
      </c>
      <c r="P172">
        <v>1</v>
      </c>
      <c r="Q172">
        <v>1</v>
      </c>
      <c r="R172">
        <v>1</v>
      </c>
      <c r="S172">
        <v>0</v>
      </c>
      <c r="T172">
        <v>0</v>
      </c>
      <c r="U172">
        <v>0</v>
      </c>
      <c r="V172">
        <v>0</v>
      </c>
      <c r="W172" t="s">
        <v>231</v>
      </c>
      <c r="X172" t="s">
        <v>27</v>
      </c>
    </row>
    <row r="173" spans="1:24" x14ac:dyDescent="0.3">
      <c r="A173" t="s">
        <v>22</v>
      </c>
      <c r="B173" t="s">
        <v>196</v>
      </c>
      <c r="C173" t="s">
        <v>320</v>
      </c>
      <c r="D173">
        <v>7</v>
      </c>
      <c r="E173" t="s">
        <v>330</v>
      </c>
      <c r="F173" t="s">
        <v>292</v>
      </c>
      <c r="I173" t="s">
        <v>307</v>
      </c>
      <c r="J173" t="s">
        <v>236</v>
      </c>
      <c r="L173">
        <v>1</v>
      </c>
      <c r="M173" t="s">
        <v>25</v>
      </c>
      <c r="N173">
        <v>0</v>
      </c>
      <c r="O173">
        <v>1</v>
      </c>
      <c r="P173">
        <v>1</v>
      </c>
      <c r="Q173">
        <v>1</v>
      </c>
      <c r="R173">
        <v>1</v>
      </c>
      <c r="S173">
        <v>0</v>
      </c>
      <c r="T173">
        <v>0</v>
      </c>
      <c r="U173">
        <v>0</v>
      </c>
      <c r="V173">
        <v>0</v>
      </c>
      <c r="W173" t="s">
        <v>231</v>
      </c>
      <c r="X173" t="s">
        <v>178</v>
      </c>
    </row>
    <row r="174" spans="1:24" x14ac:dyDescent="0.3">
      <c r="A174" t="s">
        <v>22</v>
      </c>
      <c r="B174" t="s">
        <v>196</v>
      </c>
      <c r="C174" t="s">
        <v>320</v>
      </c>
      <c r="D174">
        <v>8</v>
      </c>
      <c r="E174" t="s">
        <v>331</v>
      </c>
      <c r="I174" t="s">
        <v>332</v>
      </c>
      <c r="J174" t="s">
        <v>278</v>
      </c>
      <c r="L174">
        <v>2</v>
      </c>
      <c r="M174" t="s">
        <v>25</v>
      </c>
      <c r="N174">
        <v>0</v>
      </c>
      <c r="O174">
        <v>2</v>
      </c>
      <c r="P174">
        <v>2</v>
      </c>
      <c r="Q174">
        <v>1</v>
      </c>
      <c r="R174">
        <v>2</v>
      </c>
      <c r="S174">
        <v>0</v>
      </c>
      <c r="T174">
        <v>0</v>
      </c>
      <c r="U174">
        <v>0</v>
      </c>
      <c r="V174">
        <v>0</v>
      </c>
      <c r="W174" t="s">
        <v>231</v>
      </c>
      <c r="X174" t="s">
        <v>27</v>
      </c>
    </row>
    <row r="175" spans="1:24" x14ac:dyDescent="0.3">
      <c r="A175" t="s">
        <v>22</v>
      </c>
      <c r="B175" t="s">
        <v>196</v>
      </c>
      <c r="C175" t="s">
        <v>333</v>
      </c>
      <c r="D175">
        <v>1</v>
      </c>
      <c r="E175" t="s">
        <v>334</v>
      </c>
      <c r="F175" t="s">
        <v>31</v>
      </c>
      <c r="G175">
        <v>4</v>
      </c>
      <c r="I175" t="s">
        <v>286</v>
      </c>
      <c r="J175" t="s">
        <v>275</v>
      </c>
      <c r="L175">
        <v>9</v>
      </c>
      <c r="M175" t="s">
        <v>25</v>
      </c>
      <c r="N175">
        <v>0</v>
      </c>
      <c r="O175">
        <v>9</v>
      </c>
      <c r="P175">
        <v>9</v>
      </c>
      <c r="Q175">
        <v>3</v>
      </c>
      <c r="R175">
        <v>0</v>
      </c>
      <c r="S175">
        <v>3</v>
      </c>
      <c r="T175">
        <v>3</v>
      </c>
      <c r="U175">
        <v>3</v>
      </c>
      <c r="V175">
        <v>0</v>
      </c>
      <c r="X175" t="s">
        <v>152</v>
      </c>
    </row>
    <row r="176" spans="1:24" x14ac:dyDescent="0.3">
      <c r="A176" t="s">
        <v>22</v>
      </c>
      <c r="B176" t="s">
        <v>196</v>
      </c>
      <c r="C176" t="s">
        <v>333</v>
      </c>
      <c r="D176">
        <v>2</v>
      </c>
      <c r="E176" t="s">
        <v>335</v>
      </c>
      <c r="F176" t="s">
        <v>31</v>
      </c>
      <c r="G176">
        <v>6</v>
      </c>
      <c r="I176" t="s">
        <v>314</v>
      </c>
      <c r="J176" t="s">
        <v>290</v>
      </c>
      <c r="L176">
        <v>18</v>
      </c>
      <c r="M176" t="s">
        <v>25</v>
      </c>
      <c r="N176">
        <v>0</v>
      </c>
      <c r="O176">
        <v>18</v>
      </c>
      <c r="P176">
        <v>18</v>
      </c>
      <c r="Q176">
        <v>3</v>
      </c>
      <c r="R176">
        <v>0</v>
      </c>
      <c r="S176">
        <v>6</v>
      </c>
      <c r="T176">
        <v>6</v>
      </c>
      <c r="U176">
        <v>6</v>
      </c>
      <c r="V176">
        <v>0</v>
      </c>
      <c r="X176" t="s">
        <v>27</v>
      </c>
    </row>
    <row r="177" spans="1:24" x14ac:dyDescent="0.3">
      <c r="A177" t="s">
        <v>22</v>
      </c>
      <c r="B177" t="s">
        <v>196</v>
      </c>
      <c r="C177" t="s">
        <v>333</v>
      </c>
      <c r="D177">
        <v>3</v>
      </c>
      <c r="E177" t="s">
        <v>335</v>
      </c>
      <c r="F177" t="s">
        <v>292</v>
      </c>
      <c r="I177" t="s">
        <v>336</v>
      </c>
      <c r="J177" t="s">
        <v>290</v>
      </c>
      <c r="L177">
        <v>18</v>
      </c>
      <c r="M177" t="s">
        <v>25</v>
      </c>
      <c r="N177">
        <v>0</v>
      </c>
      <c r="O177">
        <v>18</v>
      </c>
      <c r="P177">
        <v>18</v>
      </c>
      <c r="Q177">
        <v>3</v>
      </c>
      <c r="R177">
        <v>0</v>
      </c>
      <c r="S177">
        <v>6</v>
      </c>
      <c r="T177">
        <v>6</v>
      </c>
      <c r="U177">
        <v>6</v>
      </c>
      <c r="V177">
        <v>0</v>
      </c>
      <c r="X177" t="s">
        <v>178</v>
      </c>
    </row>
    <row r="178" spans="1:24" x14ac:dyDescent="0.3">
      <c r="A178" t="s">
        <v>22</v>
      </c>
      <c r="B178" t="s">
        <v>196</v>
      </c>
      <c r="C178" t="s">
        <v>333</v>
      </c>
      <c r="D178">
        <v>4</v>
      </c>
      <c r="E178" t="s">
        <v>337</v>
      </c>
      <c r="F178" t="s">
        <v>292</v>
      </c>
      <c r="I178" t="s">
        <v>293</v>
      </c>
      <c r="J178" t="s">
        <v>275</v>
      </c>
      <c r="L178">
        <v>9</v>
      </c>
      <c r="M178" t="s">
        <v>25</v>
      </c>
      <c r="N178">
        <v>0</v>
      </c>
      <c r="O178">
        <v>9</v>
      </c>
      <c r="P178">
        <v>9</v>
      </c>
      <c r="Q178">
        <v>3</v>
      </c>
      <c r="R178">
        <v>0</v>
      </c>
      <c r="S178">
        <v>3</v>
      </c>
      <c r="T178">
        <v>3</v>
      </c>
      <c r="U178">
        <v>3</v>
      </c>
      <c r="V178">
        <v>0</v>
      </c>
      <c r="X178" t="s">
        <v>178</v>
      </c>
    </row>
    <row r="179" spans="1:24" x14ac:dyDescent="0.3">
      <c r="A179" t="s">
        <v>22</v>
      </c>
      <c r="B179" t="s">
        <v>196</v>
      </c>
      <c r="C179" t="s">
        <v>333</v>
      </c>
      <c r="D179">
        <v>5</v>
      </c>
      <c r="E179" t="s">
        <v>338</v>
      </c>
      <c r="F179" t="s">
        <v>339</v>
      </c>
      <c r="I179" t="s">
        <v>340</v>
      </c>
      <c r="J179" t="s">
        <v>305</v>
      </c>
      <c r="L179">
        <v>2</v>
      </c>
      <c r="M179" t="s">
        <v>25</v>
      </c>
      <c r="N179">
        <v>0</v>
      </c>
      <c r="O179">
        <v>2</v>
      </c>
      <c r="P179">
        <v>2</v>
      </c>
      <c r="Q179">
        <v>2</v>
      </c>
      <c r="R179">
        <v>0</v>
      </c>
      <c r="S179">
        <v>1</v>
      </c>
      <c r="T179">
        <v>1</v>
      </c>
      <c r="U179">
        <v>0</v>
      </c>
      <c r="V179">
        <v>0</v>
      </c>
      <c r="X179" t="s">
        <v>27</v>
      </c>
    </row>
    <row r="180" spans="1:24" x14ac:dyDescent="0.3">
      <c r="A180" t="s">
        <v>22</v>
      </c>
      <c r="B180" t="s">
        <v>196</v>
      </c>
      <c r="C180" t="s">
        <v>333</v>
      </c>
      <c r="D180">
        <v>6</v>
      </c>
      <c r="E180" t="s">
        <v>338</v>
      </c>
      <c r="F180" t="s">
        <v>341</v>
      </c>
      <c r="I180" t="s">
        <v>342</v>
      </c>
      <c r="J180" t="s">
        <v>343</v>
      </c>
      <c r="L180">
        <v>12</v>
      </c>
      <c r="M180" t="s">
        <v>115</v>
      </c>
      <c r="N180">
        <v>12</v>
      </c>
      <c r="O180">
        <v>0</v>
      </c>
      <c r="P180">
        <v>12</v>
      </c>
      <c r="Q180">
        <v>2</v>
      </c>
      <c r="R180">
        <v>0</v>
      </c>
      <c r="S180">
        <v>6</v>
      </c>
      <c r="T180">
        <v>6</v>
      </c>
      <c r="U180">
        <v>0</v>
      </c>
      <c r="V180">
        <v>0</v>
      </c>
      <c r="X180" t="s">
        <v>178</v>
      </c>
    </row>
    <row r="181" spans="1:24" x14ac:dyDescent="0.3">
      <c r="A181" t="s">
        <v>22</v>
      </c>
      <c r="B181" t="s">
        <v>196</v>
      </c>
      <c r="C181" t="s">
        <v>333</v>
      </c>
      <c r="D181">
        <v>7</v>
      </c>
      <c r="E181" t="s">
        <v>338</v>
      </c>
      <c r="F181" t="s">
        <v>344</v>
      </c>
      <c r="I181" t="s">
        <v>294</v>
      </c>
      <c r="J181" t="s">
        <v>227</v>
      </c>
      <c r="L181">
        <v>3</v>
      </c>
      <c r="M181" t="s">
        <v>25</v>
      </c>
      <c r="N181">
        <v>0</v>
      </c>
      <c r="O181">
        <v>3</v>
      </c>
      <c r="P181">
        <v>3</v>
      </c>
      <c r="Q181">
        <v>3</v>
      </c>
      <c r="R181">
        <v>0</v>
      </c>
      <c r="S181">
        <v>1</v>
      </c>
      <c r="T181">
        <v>1</v>
      </c>
      <c r="U181">
        <v>1</v>
      </c>
      <c r="V181">
        <v>0</v>
      </c>
      <c r="X181" t="s">
        <v>27</v>
      </c>
    </row>
    <row r="182" spans="1:24" x14ac:dyDescent="0.3">
      <c r="A182" t="s">
        <v>22</v>
      </c>
      <c r="B182" t="s">
        <v>196</v>
      </c>
      <c r="C182" t="s">
        <v>333</v>
      </c>
      <c r="D182">
        <v>8</v>
      </c>
      <c r="E182" t="s">
        <v>338</v>
      </c>
      <c r="F182" t="s">
        <v>237</v>
      </c>
      <c r="I182" t="s">
        <v>238</v>
      </c>
      <c r="J182" t="s">
        <v>227</v>
      </c>
      <c r="L182">
        <v>3</v>
      </c>
      <c r="M182" t="s">
        <v>25</v>
      </c>
      <c r="N182">
        <v>0</v>
      </c>
      <c r="O182">
        <v>3</v>
      </c>
      <c r="P182">
        <v>3</v>
      </c>
      <c r="Q182">
        <v>3</v>
      </c>
      <c r="R182">
        <v>0</v>
      </c>
      <c r="S182">
        <v>1</v>
      </c>
      <c r="T182">
        <v>1</v>
      </c>
      <c r="U182">
        <v>1</v>
      </c>
      <c r="V182">
        <v>0</v>
      </c>
      <c r="X182" t="s">
        <v>27</v>
      </c>
    </row>
    <row r="183" spans="1:24" x14ac:dyDescent="0.3">
      <c r="A183" t="s">
        <v>22</v>
      </c>
      <c r="B183" t="s">
        <v>196</v>
      </c>
      <c r="C183" t="s">
        <v>333</v>
      </c>
      <c r="D183">
        <v>9</v>
      </c>
      <c r="E183" t="s">
        <v>338</v>
      </c>
      <c r="F183" t="s">
        <v>345</v>
      </c>
      <c r="I183" t="s">
        <v>307</v>
      </c>
      <c r="J183" t="s">
        <v>236</v>
      </c>
      <c r="L183">
        <v>1</v>
      </c>
      <c r="M183" t="s">
        <v>25</v>
      </c>
      <c r="N183">
        <v>0</v>
      </c>
      <c r="O183">
        <v>1</v>
      </c>
      <c r="P183">
        <v>1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 t="s">
        <v>231</v>
      </c>
      <c r="X183" t="s">
        <v>152</v>
      </c>
    </row>
    <row r="184" spans="1:24" x14ac:dyDescent="0.3">
      <c r="A184" t="s">
        <v>22</v>
      </c>
      <c r="B184" t="s">
        <v>196</v>
      </c>
      <c r="C184" t="s">
        <v>333</v>
      </c>
      <c r="D184">
        <v>10</v>
      </c>
      <c r="E184" t="s">
        <v>338</v>
      </c>
      <c r="F184" t="s">
        <v>346</v>
      </c>
      <c r="I184" t="s">
        <v>307</v>
      </c>
      <c r="J184" t="s">
        <v>236</v>
      </c>
      <c r="L184">
        <v>1</v>
      </c>
      <c r="M184" t="s">
        <v>25</v>
      </c>
      <c r="N184">
        <v>0</v>
      </c>
      <c r="O184">
        <v>1</v>
      </c>
      <c r="P184">
        <v>1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 t="s">
        <v>231</v>
      </c>
      <c r="X184" t="s">
        <v>178</v>
      </c>
    </row>
    <row r="185" spans="1:24" x14ac:dyDescent="0.3">
      <c r="A185" t="s">
        <v>22</v>
      </c>
      <c r="B185" t="s">
        <v>196</v>
      </c>
      <c r="C185" t="s">
        <v>333</v>
      </c>
      <c r="D185">
        <v>11</v>
      </c>
      <c r="E185" t="s">
        <v>338</v>
      </c>
      <c r="F185" t="s">
        <v>281</v>
      </c>
      <c r="I185" t="s">
        <v>347</v>
      </c>
      <c r="J185" t="s">
        <v>348</v>
      </c>
      <c r="L185">
        <v>4</v>
      </c>
      <c r="M185" t="s">
        <v>25</v>
      </c>
      <c r="N185">
        <v>0</v>
      </c>
      <c r="O185">
        <v>4</v>
      </c>
      <c r="P185">
        <v>4</v>
      </c>
      <c r="Q185">
        <v>2</v>
      </c>
      <c r="R185">
        <v>0</v>
      </c>
      <c r="S185">
        <v>2</v>
      </c>
      <c r="T185">
        <v>2</v>
      </c>
      <c r="U185">
        <v>0</v>
      </c>
      <c r="V185">
        <v>0</v>
      </c>
      <c r="X185" t="s">
        <v>27</v>
      </c>
    </row>
    <row r="186" spans="1:24" x14ac:dyDescent="0.3">
      <c r="A186" t="s">
        <v>22</v>
      </c>
      <c r="B186" t="s">
        <v>196</v>
      </c>
      <c r="C186" t="s">
        <v>349</v>
      </c>
      <c r="D186">
        <v>1</v>
      </c>
      <c r="E186" t="s">
        <v>350</v>
      </c>
      <c r="F186" t="s">
        <v>725</v>
      </c>
      <c r="H186">
        <v>4</v>
      </c>
      <c r="I186" t="s">
        <v>726</v>
      </c>
      <c r="J186" t="s">
        <v>298</v>
      </c>
      <c r="L186">
        <v>12</v>
      </c>
      <c r="M186" t="s">
        <v>25</v>
      </c>
      <c r="N186">
        <v>0</v>
      </c>
      <c r="O186">
        <v>12</v>
      </c>
      <c r="P186">
        <v>12</v>
      </c>
      <c r="Q186">
        <v>3</v>
      </c>
      <c r="R186">
        <v>0</v>
      </c>
      <c r="S186">
        <v>4</v>
      </c>
      <c r="T186">
        <v>4</v>
      </c>
      <c r="U186">
        <v>4</v>
      </c>
      <c r="V186">
        <v>0</v>
      </c>
      <c r="X186" t="s">
        <v>74</v>
      </c>
    </row>
    <row r="187" spans="1:24" x14ac:dyDescent="0.3">
      <c r="A187" t="s">
        <v>22</v>
      </c>
      <c r="B187" t="s">
        <v>196</v>
      </c>
      <c r="C187" t="s">
        <v>349</v>
      </c>
      <c r="D187">
        <v>2</v>
      </c>
      <c r="E187" t="s">
        <v>350</v>
      </c>
      <c r="F187" t="s">
        <v>727</v>
      </c>
      <c r="G187">
        <v>3</v>
      </c>
      <c r="H187">
        <v>2</v>
      </c>
      <c r="I187" t="s">
        <v>728</v>
      </c>
      <c r="J187" t="s">
        <v>729</v>
      </c>
      <c r="L187">
        <v>18</v>
      </c>
      <c r="M187" t="s">
        <v>25</v>
      </c>
      <c r="N187">
        <v>0</v>
      </c>
      <c r="O187">
        <v>18</v>
      </c>
      <c r="P187">
        <v>18</v>
      </c>
      <c r="Q187">
        <v>3</v>
      </c>
      <c r="R187">
        <v>0</v>
      </c>
      <c r="S187">
        <v>6</v>
      </c>
      <c r="T187">
        <v>6</v>
      </c>
      <c r="U187">
        <v>6</v>
      </c>
      <c r="V187">
        <v>0</v>
      </c>
      <c r="X187" t="s">
        <v>27</v>
      </c>
    </row>
    <row r="188" spans="1:24" x14ac:dyDescent="0.3">
      <c r="A188" t="s">
        <v>22</v>
      </c>
      <c r="B188" t="s">
        <v>196</v>
      </c>
      <c r="C188" t="s">
        <v>349</v>
      </c>
      <c r="D188">
        <v>3</v>
      </c>
      <c r="E188" t="s">
        <v>730</v>
      </c>
      <c r="F188" t="s">
        <v>731</v>
      </c>
      <c r="G188">
        <v>31</v>
      </c>
      <c r="I188" t="s">
        <v>732</v>
      </c>
      <c r="J188" t="s">
        <v>733</v>
      </c>
      <c r="L188">
        <v>93</v>
      </c>
      <c r="M188" t="s">
        <v>25</v>
      </c>
      <c r="N188">
        <v>0</v>
      </c>
      <c r="O188">
        <v>93</v>
      </c>
      <c r="P188">
        <v>93</v>
      </c>
      <c r="Q188">
        <v>3</v>
      </c>
      <c r="R188">
        <v>0</v>
      </c>
      <c r="S188">
        <v>31</v>
      </c>
      <c r="T188">
        <v>31</v>
      </c>
      <c r="U188">
        <v>31</v>
      </c>
      <c r="V188">
        <v>0</v>
      </c>
      <c r="X188" t="s">
        <v>27</v>
      </c>
    </row>
    <row r="189" spans="1:24" x14ac:dyDescent="0.3">
      <c r="A189" t="s">
        <v>22</v>
      </c>
      <c r="B189" t="s">
        <v>196</v>
      </c>
      <c r="C189" t="s">
        <v>349</v>
      </c>
      <c r="D189">
        <v>4</v>
      </c>
      <c r="E189" t="s">
        <v>730</v>
      </c>
      <c r="F189" t="s">
        <v>734</v>
      </c>
      <c r="H189">
        <v>3</v>
      </c>
      <c r="I189" t="s">
        <v>735</v>
      </c>
      <c r="J189" t="s">
        <v>275</v>
      </c>
      <c r="L189">
        <v>9</v>
      </c>
      <c r="M189" t="s">
        <v>25</v>
      </c>
      <c r="N189">
        <v>0</v>
      </c>
      <c r="O189">
        <v>9</v>
      </c>
      <c r="P189">
        <v>9</v>
      </c>
      <c r="Q189">
        <v>3</v>
      </c>
      <c r="R189">
        <v>0</v>
      </c>
      <c r="S189">
        <v>3</v>
      </c>
      <c r="T189">
        <v>3</v>
      </c>
      <c r="U189">
        <v>3</v>
      </c>
      <c r="V189">
        <v>0</v>
      </c>
      <c r="X189" t="s">
        <v>74</v>
      </c>
    </row>
    <row r="190" spans="1:24" x14ac:dyDescent="0.3">
      <c r="A190" t="s">
        <v>22</v>
      </c>
      <c r="B190" t="s">
        <v>196</v>
      </c>
      <c r="C190" t="s">
        <v>349</v>
      </c>
      <c r="D190">
        <v>5</v>
      </c>
      <c r="E190" t="s">
        <v>730</v>
      </c>
      <c r="F190" t="s">
        <v>736</v>
      </c>
      <c r="H190">
        <v>0</v>
      </c>
      <c r="I190" t="s">
        <v>737</v>
      </c>
      <c r="J190" t="s">
        <v>738</v>
      </c>
      <c r="L190">
        <v>0</v>
      </c>
      <c r="M190" t="s">
        <v>25</v>
      </c>
      <c r="N190">
        <v>0</v>
      </c>
      <c r="O190">
        <v>0</v>
      </c>
      <c r="P190">
        <v>0</v>
      </c>
      <c r="Q190">
        <v>3</v>
      </c>
      <c r="R190">
        <v>0</v>
      </c>
      <c r="S190">
        <v>0</v>
      </c>
      <c r="T190">
        <v>0</v>
      </c>
      <c r="U190">
        <v>0</v>
      </c>
      <c r="V190">
        <v>0</v>
      </c>
      <c r="X190" t="s">
        <v>74</v>
      </c>
    </row>
    <row r="191" spans="1:24" x14ac:dyDescent="0.3">
      <c r="A191" t="s">
        <v>22</v>
      </c>
      <c r="B191" t="s">
        <v>196</v>
      </c>
      <c r="C191" t="s">
        <v>349</v>
      </c>
      <c r="D191">
        <v>6</v>
      </c>
      <c r="E191" t="s">
        <v>730</v>
      </c>
      <c r="F191" t="s">
        <v>739</v>
      </c>
      <c r="H191">
        <v>3</v>
      </c>
      <c r="I191" t="s">
        <v>740</v>
      </c>
      <c r="J191" t="s">
        <v>275</v>
      </c>
      <c r="L191">
        <v>9</v>
      </c>
      <c r="M191" t="s">
        <v>25</v>
      </c>
      <c r="N191">
        <v>0</v>
      </c>
      <c r="O191">
        <v>9</v>
      </c>
      <c r="P191">
        <v>9</v>
      </c>
      <c r="Q191">
        <v>3</v>
      </c>
      <c r="R191">
        <v>0</v>
      </c>
      <c r="S191">
        <v>3</v>
      </c>
      <c r="T191">
        <v>3</v>
      </c>
      <c r="U191">
        <v>3</v>
      </c>
      <c r="V191">
        <v>0</v>
      </c>
      <c r="X191" t="s">
        <v>27</v>
      </c>
    </row>
    <row r="192" spans="1:24" x14ac:dyDescent="0.3">
      <c r="A192" t="s">
        <v>22</v>
      </c>
      <c r="B192" t="s">
        <v>196</v>
      </c>
      <c r="C192" t="s">
        <v>349</v>
      </c>
      <c r="D192">
        <v>7</v>
      </c>
      <c r="E192" t="s">
        <v>730</v>
      </c>
      <c r="F192" t="s">
        <v>741</v>
      </c>
      <c r="H192">
        <v>1</v>
      </c>
      <c r="I192" t="s">
        <v>742</v>
      </c>
      <c r="J192" t="s">
        <v>743</v>
      </c>
      <c r="L192">
        <v>4</v>
      </c>
      <c r="M192" t="s">
        <v>25</v>
      </c>
      <c r="N192">
        <v>0</v>
      </c>
      <c r="O192">
        <v>4</v>
      </c>
      <c r="P192">
        <v>4</v>
      </c>
      <c r="Q192">
        <v>3</v>
      </c>
      <c r="R192">
        <v>0</v>
      </c>
      <c r="S192">
        <v>2</v>
      </c>
      <c r="T192">
        <v>1</v>
      </c>
      <c r="U192">
        <v>1</v>
      </c>
      <c r="V192">
        <v>0</v>
      </c>
      <c r="X192" t="s">
        <v>74</v>
      </c>
    </row>
    <row r="193" spans="1:24" x14ac:dyDescent="0.3">
      <c r="A193" t="s">
        <v>22</v>
      </c>
      <c r="B193" t="s">
        <v>196</v>
      </c>
      <c r="C193" t="s">
        <v>349</v>
      </c>
      <c r="D193">
        <v>8</v>
      </c>
      <c r="E193" t="s">
        <v>730</v>
      </c>
      <c r="F193" t="s">
        <v>237</v>
      </c>
      <c r="H193">
        <v>1</v>
      </c>
      <c r="I193" t="s">
        <v>744</v>
      </c>
      <c r="J193" t="s">
        <v>227</v>
      </c>
      <c r="L193">
        <v>3</v>
      </c>
      <c r="M193" t="s">
        <v>25</v>
      </c>
      <c r="N193">
        <v>0</v>
      </c>
      <c r="O193">
        <v>3</v>
      </c>
      <c r="P193">
        <v>3</v>
      </c>
      <c r="Q193">
        <v>3</v>
      </c>
      <c r="R193">
        <v>0</v>
      </c>
      <c r="S193">
        <v>1</v>
      </c>
      <c r="T193">
        <v>1</v>
      </c>
      <c r="U193">
        <v>1</v>
      </c>
      <c r="V193">
        <v>0</v>
      </c>
      <c r="X193" t="s">
        <v>27</v>
      </c>
    </row>
    <row r="194" spans="1:24" x14ac:dyDescent="0.3">
      <c r="A194" t="s">
        <v>22</v>
      </c>
      <c r="B194" t="s">
        <v>196</v>
      </c>
      <c r="C194" t="s">
        <v>349</v>
      </c>
      <c r="D194">
        <v>9</v>
      </c>
      <c r="E194" t="s">
        <v>358</v>
      </c>
      <c r="F194" t="s">
        <v>745</v>
      </c>
      <c r="G194">
        <v>63</v>
      </c>
      <c r="I194" t="s">
        <v>746</v>
      </c>
      <c r="J194" t="s">
        <v>747</v>
      </c>
      <c r="L194">
        <v>189</v>
      </c>
      <c r="M194" t="s">
        <v>25</v>
      </c>
      <c r="N194">
        <v>0</v>
      </c>
      <c r="O194">
        <v>189</v>
      </c>
      <c r="P194">
        <v>189</v>
      </c>
      <c r="Q194">
        <v>3</v>
      </c>
      <c r="R194">
        <v>0</v>
      </c>
      <c r="S194">
        <v>64</v>
      </c>
      <c r="T194">
        <v>64</v>
      </c>
      <c r="U194">
        <v>64</v>
      </c>
      <c r="V194">
        <v>0</v>
      </c>
      <c r="X194" t="s">
        <v>27</v>
      </c>
    </row>
    <row r="195" spans="1:24" x14ac:dyDescent="0.3">
      <c r="A195" t="s">
        <v>22</v>
      </c>
      <c r="B195" t="s">
        <v>196</v>
      </c>
      <c r="C195" t="s">
        <v>349</v>
      </c>
      <c r="D195">
        <v>10</v>
      </c>
      <c r="E195" t="s">
        <v>358</v>
      </c>
      <c r="F195" t="s">
        <v>19</v>
      </c>
      <c r="H195">
        <v>0.13</v>
      </c>
      <c r="I195" t="s">
        <v>748</v>
      </c>
      <c r="J195" t="s">
        <v>749</v>
      </c>
      <c r="L195">
        <v>25</v>
      </c>
      <c r="M195" t="s">
        <v>25</v>
      </c>
      <c r="N195">
        <v>0</v>
      </c>
      <c r="O195">
        <v>25</v>
      </c>
      <c r="P195">
        <v>25</v>
      </c>
      <c r="Q195">
        <v>3</v>
      </c>
      <c r="R195">
        <v>0</v>
      </c>
      <c r="S195">
        <v>9</v>
      </c>
      <c r="T195">
        <v>8</v>
      </c>
      <c r="U195">
        <v>8</v>
      </c>
      <c r="V195">
        <v>0</v>
      </c>
      <c r="X195" t="s">
        <v>27</v>
      </c>
    </row>
    <row r="196" spans="1:24" x14ac:dyDescent="0.3">
      <c r="A196" t="s">
        <v>22</v>
      </c>
      <c r="B196" t="s">
        <v>196</v>
      </c>
      <c r="C196" t="s">
        <v>349</v>
      </c>
      <c r="D196">
        <v>11</v>
      </c>
      <c r="E196" t="s">
        <v>358</v>
      </c>
      <c r="F196" t="s">
        <v>750</v>
      </c>
      <c r="H196">
        <v>4</v>
      </c>
      <c r="I196" t="s">
        <v>726</v>
      </c>
      <c r="J196" t="s">
        <v>298</v>
      </c>
      <c r="L196">
        <v>12</v>
      </c>
      <c r="M196" t="s">
        <v>25</v>
      </c>
      <c r="N196">
        <v>0</v>
      </c>
      <c r="O196">
        <v>12</v>
      </c>
      <c r="P196">
        <v>12</v>
      </c>
      <c r="Q196">
        <v>3</v>
      </c>
      <c r="R196">
        <v>0</v>
      </c>
      <c r="S196">
        <v>4</v>
      </c>
      <c r="T196">
        <v>4</v>
      </c>
      <c r="U196">
        <v>4</v>
      </c>
      <c r="V196">
        <v>0</v>
      </c>
      <c r="X196" t="s">
        <v>74</v>
      </c>
    </row>
    <row r="197" spans="1:24" x14ac:dyDescent="0.3">
      <c r="A197" t="s">
        <v>22</v>
      </c>
      <c r="B197" t="s">
        <v>196</v>
      </c>
      <c r="C197" t="s">
        <v>349</v>
      </c>
      <c r="D197">
        <v>12</v>
      </c>
      <c r="E197" t="s">
        <v>358</v>
      </c>
      <c r="F197" t="s">
        <v>55</v>
      </c>
      <c r="H197">
        <v>3</v>
      </c>
      <c r="I197" t="s">
        <v>740</v>
      </c>
      <c r="J197" t="s">
        <v>275</v>
      </c>
      <c r="L197">
        <v>9</v>
      </c>
      <c r="M197" t="s">
        <v>25</v>
      </c>
      <c r="N197">
        <v>0</v>
      </c>
      <c r="O197">
        <v>9</v>
      </c>
      <c r="P197">
        <v>9</v>
      </c>
      <c r="Q197">
        <v>3</v>
      </c>
      <c r="R197">
        <v>0</v>
      </c>
      <c r="S197">
        <v>3</v>
      </c>
      <c r="T197">
        <v>3</v>
      </c>
      <c r="U197">
        <v>3</v>
      </c>
      <c r="V197">
        <v>0</v>
      </c>
      <c r="X197" t="s">
        <v>27</v>
      </c>
    </row>
    <row r="198" spans="1:24" x14ac:dyDescent="0.3">
      <c r="A198" t="s">
        <v>22</v>
      </c>
      <c r="B198" t="s">
        <v>196</v>
      </c>
      <c r="C198" t="s">
        <v>349</v>
      </c>
      <c r="D198">
        <v>13</v>
      </c>
      <c r="E198" t="s">
        <v>358</v>
      </c>
      <c r="F198" t="s">
        <v>237</v>
      </c>
      <c r="H198">
        <v>1</v>
      </c>
      <c r="I198" t="s">
        <v>744</v>
      </c>
      <c r="J198" t="s">
        <v>227</v>
      </c>
      <c r="L198">
        <v>3</v>
      </c>
      <c r="M198" t="s">
        <v>25</v>
      </c>
      <c r="N198">
        <v>0</v>
      </c>
      <c r="O198">
        <v>3</v>
      </c>
      <c r="P198">
        <v>3</v>
      </c>
      <c r="Q198">
        <v>3</v>
      </c>
      <c r="R198">
        <v>0</v>
      </c>
      <c r="S198">
        <v>1</v>
      </c>
      <c r="T198">
        <v>1</v>
      </c>
      <c r="U198">
        <v>1</v>
      </c>
      <c r="V198">
        <v>0</v>
      </c>
      <c r="X198" t="s">
        <v>27</v>
      </c>
    </row>
    <row r="199" spans="1:24" x14ac:dyDescent="0.3">
      <c r="A199" t="s">
        <v>22</v>
      </c>
      <c r="B199" t="s">
        <v>196</v>
      </c>
      <c r="C199" t="s">
        <v>349</v>
      </c>
      <c r="D199">
        <v>14</v>
      </c>
      <c r="E199" t="s">
        <v>358</v>
      </c>
      <c r="F199" t="s">
        <v>751</v>
      </c>
      <c r="H199">
        <v>3</v>
      </c>
      <c r="I199" t="s">
        <v>752</v>
      </c>
      <c r="J199" t="s">
        <v>259</v>
      </c>
      <c r="L199">
        <v>10</v>
      </c>
      <c r="M199" t="s">
        <v>25</v>
      </c>
      <c r="N199">
        <v>0</v>
      </c>
      <c r="O199">
        <v>10</v>
      </c>
      <c r="P199">
        <v>10</v>
      </c>
      <c r="Q199">
        <v>3</v>
      </c>
      <c r="R199">
        <v>0</v>
      </c>
      <c r="S199">
        <v>4</v>
      </c>
      <c r="T199">
        <v>3</v>
      </c>
      <c r="U199">
        <v>3</v>
      </c>
      <c r="V199">
        <v>0</v>
      </c>
      <c r="X199" t="s">
        <v>74</v>
      </c>
    </row>
    <row r="200" spans="1:24" x14ac:dyDescent="0.3">
      <c r="A200" t="s">
        <v>22</v>
      </c>
      <c r="B200" t="s">
        <v>196</v>
      </c>
      <c r="C200" t="s">
        <v>349</v>
      </c>
      <c r="D200">
        <v>15</v>
      </c>
      <c r="E200" t="s">
        <v>359</v>
      </c>
      <c r="F200" t="s">
        <v>753</v>
      </c>
      <c r="G200">
        <v>11</v>
      </c>
      <c r="H200">
        <v>11</v>
      </c>
      <c r="I200" t="s">
        <v>746</v>
      </c>
      <c r="J200" t="s">
        <v>754</v>
      </c>
      <c r="L200">
        <v>33</v>
      </c>
      <c r="M200" t="s">
        <v>25</v>
      </c>
      <c r="N200">
        <v>0</v>
      </c>
      <c r="O200">
        <v>33</v>
      </c>
      <c r="P200">
        <v>33</v>
      </c>
      <c r="Q200">
        <v>3</v>
      </c>
      <c r="R200">
        <v>0</v>
      </c>
      <c r="S200">
        <v>9</v>
      </c>
      <c r="T200">
        <v>9</v>
      </c>
      <c r="U200">
        <v>9</v>
      </c>
      <c r="V200">
        <v>0</v>
      </c>
      <c r="X200" t="s">
        <v>27</v>
      </c>
    </row>
    <row r="201" spans="1:24" x14ac:dyDescent="0.3">
      <c r="A201" t="s">
        <v>22</v>
      </c>
      <c r="B201" t="s">
        <v>196</v>
      </c>
      <c r="C201" t="s">
        <v>349</v>
      </c>
      <c r="D201">
        <v>16</v>
      </c>
      <c r="E201" t="s">
        <v>359</v>
      </c>
      <c r="F201" t="s">
        <v>55</v>
      </c>
      <c r="H201">
        <v>1</v>
      </c>
      <c r="I201" t="s">
        <v>755</v>
      </c>
      <c r="J201" t="s">
        <v>227</v>
      </c>
      <c r="L201">
        <v>3</v>
      </c>
      <c r="M201" t="s">
        <v>25</v>
      </c>
      <c r="N201">
        <v>0</v>
      </c>
      <c r="O201">
        <v>3</v>
      </c>
      <c r="P201">
        <v>3</v>
      </c>
      <c r="Q201">
        <v>3</v>
      </c>
      <c r="R201">
        <v>0</v>
      </c>
      <c r="S201">
        <v>1</v>
      </c>
      <c r="T201">
        <v>1</v>
      </c>
      <c r="U201">
        <v>1</v>
      </c>
      <c r="V201">
        <v>0</v>
      </c>
      <c r="X201" t="s">
        <v>27</v>
      </c>
    </row>
    <row r="202" spans="1:24" x14ac:dyDescent="0.3">
      <c r="A202" t="s">
        <v>22</v>
      </c>
      <c r="B202" t="s">
        <v>196</v>
      </c>
      <c r="C202" t="s">
        <v>349</v>
      </c>
      <c r="D202">
        <v>17</v>
      </c>
      <c r="E202" t="s">
        <v>359</v>
      </c>
      <c r="F202" t="s">
        <v>756</v>
      </c>
      <c r="H202">
        <v>11</v>
      </c>
      <c r="I202" t="s">
        <v>757</v>
      </c>
      <c r="J202" t="s">
        <v>758</v>
      </c>
      <c r="L202">
        <v>18</v>
      </c>
      <c r="M202" t="s">
        <v>25</v>
      </c>
      <c r="N202">
        <v>0</v>
      </c>
      <c r="O202">
        <v>18</v>
      </c>
      <c r="P202">
        <v>18</v>
      </c>
      <c r="Q202">
        <v>3</v>
      </c>
      <c r="R202">
        <v>0</v>
      </c>
      <c r="S202">
        <v>5</v>
      </c>
      <c r="T202">
        <v>5</v>
      </c>
      <c r="U202">
        <v>5</v>
      </c>
      <c r="V202">
        <v>0</v>
      </c>
      <c r="X202" t="s">
        <v>74</v>
      </c>
    </row>
    <row r="203" spans="1:24" x14ac:dyDescent="0.3">
      <c r="A203" t="s">
        <v>22</v>
      </c>
      <c r="B203" t="s">
        <v>196</v>
      </c>
      <c r="C203" t="s">
        <v>349</v>
      </c>
      <c r="D203">
        <v>18</v>
      </c>
      <c r="E203" t="s">
        <v>359</v>
      </c>
      <c r="F203" t="s">
        <v>759</v>
      </c>
      <c r="H203">
        <v>2</v>
      </c>
      <c r="I203" t="s">
        <v>760</v>
      </c>
      <c r="J203" t="s">
        <v>214</v>
      </c>
      <c r="L203">
        <v>6</v>
      </c>
      <c r="M203" t="s">
        <v>25</v>
      </c>
      <c r="N203">
        <v>0</v>
      </c>
      <c r="O203">
        <v>6</v>
      </c>
      <c r="P203">
        <v>6</v>
      </c>
      <c r="Q203">
        <v>3</v>
      </c>
      <c r="R203">
        <v>0</v>
      </c>
      <c r="S203">
        <v>2</v>
      </c>
      <c r="T203">
        <v>2</v>
      </c>
      <c r="U203">
        <v>2</v>
      </c>
      <c r="V203">
        <v>0</v>
      </c>
      <c r="X203" t="s">
        <v>27</v>
      </c>
    </row>
    <row r="204" spans="1:24" x14ac:dyDescent="0.3">
      <c r="A204" t="s">
        <v>22</v>
      </c>
      <c r="B204" t="s">
        <v>196</v>
      </c>
      <c r="C204" t="s">
        <v>349</v>
      </c>
      <c r="D204">
        <v>19</v>
      </c>
      <c r="E204" t="s">
        <v>359</v>
      </c>
      <c r="F204" t="s">
        <v>761</v>
      </c>
      <c r="H204">
        <v>11</v>
      </c>
      <c r="I204" t="s">
        <v>762</v>
      </c>
      <c r="J204" t="s">
        <v>763</v>
      </c>
      <c r="L204">
        <v>121</v>
      </c>
      <c r="M204" t="s">
        <v>25</v>
      </c>
      <c r="N204">
        <v>0</v>
      </c>
      <c r="O204">
        <v>121</v>
      </c>
      <c r="P204">
        <v>121</v>
      </c>
      <c r="Q204">
        <v>3</v>
      </c>
      <c r="R204">
        <v>0</v>
      </c>
      <c r="S204">
        <v>33</v>
      </c>
      <c r="T204">
        <v>33</v>
      </c>
      <c r="U204">
        <v>33</v>
      </c>
      <c r="V204">
        <v>0</v>
      </c>
      <c r="X204" t="s">
        <v>74</v>
      </c>
    </row>
    <row r="205" spans="1:24" x14ac:dyDescent="0.3">
      <c r="A205" t="s">
        <v>22</v>
      </c>
      <c r="B205" t="s">
        <v>196</v>
      </c>
      <c r="C205" t="s">
        <v>349</v>
      </c>
      <c r="D205">
        <v>20</v>
      </c>
      <c r="E205" t="s">
        <v>359</v>
      </c>
      <c r="F205" t="s">
        <v>764</v>
      </c>
      <c r="H205">
        <v>5.0999999999999996</v>
      </c>
      <c r="I205" t="s">
        <v>765</v>
      </c>
      <c r="J205" t="s">
        <v>766</v>
      </c>
      <c r="L205">
        <v>56</v>
      </c>
      <c r="M205" t="s">
        <v>25</v>
      </c>
      <c r="N205">
        <v>0</v>
      </c>
      <c r="O205">
        <v>56</v>
      </c>
      <c r="P205">
        <v>56</v>
      </c>
      <c r="Q205">
        <v>3</v>
      </c>
      <c r="R205">
        <v>0</v>
      </c>
      <c r="S205">
        <v>16</v>
      </c>
      <c r="T205">
        <v>15</v>
      </c>
      <c r="U205">
        <v>15</v>
      </c>
      <c r="V205">
        <v>0</v>
      </c>
      <c r="X205" t="s">
        <v>74</v>
      </c>
    </row>
    <row r="206" spans="1:24" x14ac:dyDescent="0.3">
      <c r="A206" t="s">
        <v>22</v>
      </c>
      <c r="B206" t="s">
        <v>196</v>
      </c>
      <c r="C206" t="s">
        <v>349</v>
      </c>
      <c r="D206">
        <v>21</v>
      </c>
      <c r="E206" t="s">
        <v>361</v>
      </c>
      <c r="F206" t="s">
        <v>767</v>
      </c>
      <c r="G206">
        <v>35</v>
      </c>
      <c r="H206">
        <v>35</v>
      </c>
      <c r="I206" t="s">
        <v>768</v>
      </c>
      <c r="J206" t="s">
        <v>769</v>
      </c>
      <c r="L206">
        <v>81</v>
      </c>
      <c r="M206" t="s">
        <v>25</v>
      </c>
      <c r="N206">
        <v>0</v>
      </c>
      <c r="O206">
        <v>81</v>
      </c>
      <c r="P206">
        <v>81</v>
      </c>
      <c r="Q206">
        <v>3</v>
      </c>
      <c r="R206">
        <v>0</v>
      </c>
      <c r="S206">
        <v>29</v>
      </c>
      <c r="T206">
        <v>29</v>
      </c>
      <c r="U206">
        <v>29</v>
      </c>
      <c r="V206">
        <v>0</v>
      </c>
      <c r="X206" t="s">
        <v>27</v>
      </c>
    </row>
    <row r="207" spans="1:24" x14ac:dyDescent="0.3">
      <c r="A207" t="s">
        <v>22</v>
      </c>
      <c r="B207" t="s">
        <v>196</v>
      </c>
      <c r="C207" t="s">
        <v>349</v>
      </c>
      <c r="D207">
        <v>22</v>
      </c>
      <c r="E207" t="s">
        <v>361</v>
      </c>
      <c r="F207" t="s">
        <v>770</v>
      </c>
      <c r="H207">
        <v>8</v>
      </c>
      <c r="I207" t="s">
        <v>771</v>
      </c>
      <c r="J207" t="s">
        <v>772</v>
      </c>
      <c r="L207">
        <v>24</v>
      </c>
      <c r="M207" t="s">
        <v>25</v>
      </c>
      <c r="N207">
        <v>0</v>
      </c>
      <c r="O207">
        <v>24</v>
      </c>
      <c r="P207">
        <v>24</v>
      </c>
      <c r="Q207">
        <v>3</v>
      </c>
      <c r="R207">
        <v>0</v>
      </c>
      <c r="S207">
        <v>8</v>
      </c>
      <c r="T207">
        <v>8</v>
      </c>
      <c r="U207">
        <v>8</v>
      </c>
      <c r="V207">
        <v>0</v>
      </c>
      <c r="X207" t="s">
        <v>27</v>
      </c>
    </row>
    <row r="208" spans="1:24" x14ac:dyDescent="0.3">
      <c r="A208" t="s">
        <v>22</v>
      </c>
      <c r="B208" t="s">
        <v>196</v>
      </c>
      <c r="C208" t="s">
        <v>349</v>
      </c>
      <c r="D208">
        <v>23</v>
      </c>
      <c r="E208" t="s">
        <v>361</v>
      </c>
      <c r="F208" t="s">
        <v>773</v>
      </c>
      <c r="G208">
        <v>12</v>
      </c>
      <c r="H208">
        <v>1</v>
      </c>
      <c r="I208" t="s">
        <v>746</v>
      </c>
      <c r="J208" t="s">
        <v>774</v>
      </c>
      <c r="L208">
        <v>36</v>
      </c>
      <c r="M208" t="s">
        <v>25</v>
      </c>
      <c r="N208">
        <v>0</v>
      </c>
      <c r="O208">
        <v>36</v>
      </c>
      <c r="P208">
        <v>36</v>
      </c>
      <c r="Q208">
        <v>3</v>
      </c>
      <c r="R208">
        <v>0</v>
      </c>
      <c r="S208">
        <v>6</v>
      </c>
      <c r="T208">
        <v>6</v>
      </c>
      <c r="U208">
        <v>6</v>
      </c>
      <c r="V208">
        <v>0</v>
      </c>
      <c r="X208" t="s">
        <v>27</v>
      </c>
    </row>
    <row r="209" spans="1:24" x14ac:dyDescent="0.3">
      <c r="A209" t="s">
        <v>22</v>
      </c>
      <c r="B209" t="s">
        <v>196</v>
      </c>
      <c r="C209" t="s">
        <v>349</v>
      </c>
      <c r="D209">
        <v>24</v>
      </c>
      <c r="E209" t="s">
        <v>361</v>
      </c>
      <c r="F209" t="s">
        <v>775</v>
      </c>
      <c r="H209">
        <v>1.6</v>
      </c>
      <c r="I209" t="s">
        <v>776</v>
      </c>
      <c r="J209" t="s">
        <v>777</v>
      </c>
      <c r="L209">
        <v>20</v>
      </c>
      <c r="M209" t="s">
        <v>25</v>
      </c>
      <c r="N209">
        <v>0</v>
      </c>
      <c r="O209">
        <v>20</v>
      </c>
      <c r="P209">
        <v>20</v>
      </c>
      <c r="Q209">
        <v>3</v>
      </c>
      <c r="R209">
        <v>0</v>
      </c>
      <c r="S209">
        <v>4</v>
      </c>
      <c r="T209">
        <v>3</v>
      </c>
      <c r="U209">
        <v>3</v>
      </c>
      <c r="V209">
        <v>0</v>
      </c>
      <c r="X209" t="s">
        <v>74</v>
      </c>
    </row>
    <row r="210" spans="1:24" x14ac:dyDescent="0.3">
      <c r="A210" t="s">
        <v>22</v>
      </c>
      <c r="B210" t="s">
        <v>196</v>
      </c>
      <c r="C210" t="s">
        <v>349</v>
      </c>
      <c r="D210">
        <v>25</v>
      </c>
      <c r="E210" t="s">
        <v>361</v>
      </c>
      <c r="F210" t="s">
        <v>778</v>
      </c>
      <c r="H210">
        <v>0.4</v>
      </c>
      <c r="I210" t="s">
        <v>779</v>
      </c>
      <c r="J210" t="s">
        <v>780</v>
      </c>
      <c r="L210">
        <v>12</v>
      </c>
      <c r="M210" t="s">
        <v>25</v>
      </c>
      <c r="N210">
        <v>0</v>
      </c>
      <c r="O210">
        <v>12</v>
      </c>
      <c r="P210">
        <v>12</v>
      </c>
      <c r="Q210">
        <v>3</v>
      </c>
      <c r="R210">
        <v>0</v>
      </c>
      <c r="S210">
        <v>4</v>
      </c>
      <c r="T210">
        <v>4</v>
      </c>
      <c r="U210">
        <v>4</v>
      </c>
      <c r="V210">
        <v>0</v>
      </c>
      <c r="X210" t="s">
        <v>74</v>
      </c>
    </row>
    <row r="211" spans="1:24" x14ac:dyDescent="0.3">
      <c r="A211" t="s">
        <v>22</v>
      </c>
      <c r="B211" t="s">
        <v>196</v>
      </c>
      <c r="C211" t="s">
        <v>349</v>
      </c>
      <c r="D211">
        <v>26</v>
      </c>
      <c r="E211" t="s">
        <v>361</v>
      </c>
      <c r="F211" t="s">
        <v>781</v>
      </c>
      <c r="G211">
        <v>35</v>
      </c>
      <c r="H211">
        <v>0.24</v>
      </c>
      <c r="I211" t="s">
        <v>782</v>
      </c>
      <c r="J211" t="s">
        <v>783</v>
      </c>
      <c r="L211">
        <v>8</v>
      </c>
      <c r="M211" t="s">
        <v>25</v>
      </c>
      <c r="N211">
        <v>0</v>
      </c>
      <c r="O211">
        <v>8</v>
      </c>
      <c r="P211">
        <v>8</v>
      </c>
      <c r="Q211">
        <v>3</v>
      </c>
      <c r="R211">
        <v>0</v>
      </c>
      <c r="S211">
        <v>3</v>
      </c>
      <c r="T211">
        <v>3</v>
      </c>
      <c r="U211">
        <v>3</v>
      </c>
      <c r="V211">
        <v>0</v>
      </c>
      <c r="X211" t="s">
        <v>74</v>
      </c>
    </row>
    <row r="212" spans="1:24" x14ac:dyDescent="0.3">
      <c r="A212" t="s">
        <v>22</v>
      </c>
      <c r="B212" t="s">
        <v>196</v>
      </c>
      <c r="C212" t="s">
        <v>349</v>
      </c>
      <c r="D212">
        <v>27</v>
      </c>
      <c r="E212" t="s">
        <v>361</v>
      </c>
      <c r="F212" t="s">
        <v>784</v>
      </c>
      <c r="H212">
        <v>3</v>
      </c>
      <c r="I212" t="s">
        <v>740</v>
      </c>
      <c r="J212" t="s">
        <v>275</v>
      </c>
      <c r="L212">
        <v>9</v>
      </c>
      <c r="M212" t="s">
        <v>25</v>
      </c>
      <c r="N212">
        <v>0</v>
      </c>
      <c r="O212">
        <v>9</v>
      </c>
      <c r="P212">
        <v>9</v>
      </c>
      <c r="Q212">
        <v>3</v>
      </c>
      <c r="R212">
        <v>0</v>
      </c>
      <c r="S212">
        <v>3</v>
      </c>
      <c r="T212">
        <v>3</v>
      </c>
      <c r="U212">
        <v>3</v>
      </c>
      <c r="V212">
        <v>0</v>
      </c>
      <c r="X212" t="s">
        <v>27</v>
      </c>
    </row>
    <row r="213" spans="1:24" x14ac:dyDescent="0.3">
      <c r="A213" t="s">
        <v>22</v>
      </c>
      <c r="B213" t="s">
        <v>196</v>
      </c>
      <c r="C213" t="s">
        <v>349</v>
      </c>
      <c r="D213">
        <v>28</v>
      </c>
      <c r="E213" t="s">
        <v>361</v>
      </c>
      <c r="F213" t="s">
        <v>785</v>
      </c>
      <c r="H213">
        <v>1</v>
      </c>
      <c r="I213" t="s">
        <v>786</v>
      </c>
      <c r="J213" t="s">
        <v>227</v>
      </c>
      <c r="L213">
        <v>3</v>
      </c>
      <c r="M213" t="s">
        <v>25</v>
      </c>
      <c r="N213">
        <v>0</v>
      </c>
      <c r="O213">
        <v>3</v>
      </c>
      <c r="P213">
        <v>3</v>
      </c>
      <c r="Q213">
        <v>3</v>
      </c>
      <c r="R213">
        <v>0</v>
      </c>
      <c r="S213">
        <v>1</v>
      </c>
      <c r="T213">
        <v>1</v>
      </c>
      <c r="U213">
        <v>1</v>
      </c>
      <c r="V213">
        <v>0</v>
      </c>
      <c r="X213" t="s">
        <v>74</v>
      </c>
    </row>
    <row r="214" spans="1:24" x14ac:dyDescent="0.3">
      <c r="A214" t="s">
        <v>22</v>
      </c>
      <c r="B214" t="s">
        <v>196</v>
      </c>
      <c r="C214" t="s">
        <v>349</v>
      </c>
      <c r="D214">
        <v>29</v>
      </c>
      <c r="E214" t="s">
        <v>366</v>
      </c>
      <c r="F214" t="s">
        <v>55</v>
      </c>
      <c r="H214">
        <v>3</v>
      </c>
      <c r="I214" t="s">
        <v>740</v>
      </c>
      <c r="J214" t="s">
        <v>275</v>
      </c>
      <c r="L214">
        <v>9</v>
      </c>
      <c r="M214" t="s">
        <v>25</v>
      </c>
      <c r="N214">
        <v>0</v>
      </c>
      <c r="O214">
        <v>9</v>
      </c>
      <c r="P214">
        <v>9</v>
      </c>
      <c r="Q214">
        <v>3</v>
      </c>
      <c r="R214">
        <v>0</v>
      </c>
      <c r="S214">
        <v>3</v>
      </c>
      <c r="T214">
        <v>3</v>
      </c>
      <c r="U214">
        <v>3</v>
      </c>
      <c r="V214">
        <v>0</v>
      </c>
      <c r="X214" t="s">
        <v>27</v>
      </c>
    </row>
    <row r="215" spans="1:24" x14ac:dyDescent="0.3">
      <c r="A215" t="s">
        <v>22</v>
      </c>
      <c r="B215" t="s">
        <v>196</v>
      </c>
      <c r="C215" t="s">
        <v>349</v>
      </c>
      <c r="D215">
        <v>30</v>
      </c>
      <c r="E215" t="s">
        <v>366</v>
      </c>
      <c r="F215" t="s">
        <v>785</v>
      </c>
      <c r="H215">
        <v>1</v>
      </c>
      <c r="I215" t="s">
        <v>786</v>
      </c>
      <c r="J215" t="s">
        <v>227</v>
      </c>
      <c r="L215">
        <v>3</v>
      </c>
      <c r="M215" t="s">
        <v>25</v>
      </c>
      <c r="N215">
        <v>0</v>
      </c>
      <c r="O215">
        <v>3</v>
      </c>
      <c r="P215">
        <v>3</v>
      </c>
      <c r="Q215">
        <v>3</v>
      </c>
      <c r="R215">
        <v>0</v>
      </c>
      <c r="S215">
        <v>1</v>
      </c>
      <c r="T215">
        <v>1</v>
      </c>
      <c r="U215">
        <v>1</v>
      </c>
      <c r="V215">
        <v>0</v>
      </c>
      <c r="X215" t="s">
        <v>74</v>
      </c>
    </row>
    <row r="216" spans="1:24" x14ac:dyDescent="0.3">
      <c r="A216" t="s">
        <v>22</v>
      </c>
      <c r="B216" t="s">
        <v>196</v>
      </c>
      <c r="C216" t="s">
        <v>349</v>
      </c>
      <c r="D216">
        <v>31</v>
      </c>
      <c r="E216" t="s">
        <v>366</v>
      </c>
      <c r="F216" t="s">
        <v>787</v>
      </c>
      <c r="G216">
        <v>9</v>
      </c>
      <c r="H216">
        <v>1</v>
      </c>
      <c r="I216" t="s">
        <v>788</v>
      </c>
      <c r="J216" t="s">
        <v>789</v>
      </c>
      <c r="L216">
        <v>27</v>
      </c>
      <c r="M216" t="s">
        <v>25</v>
      </c>
      <c r="N216">
        <v>0</v>
      </c>
      <c r="O216">
        <v>27</v>
      </c>
      <c r="P216">
        <v>27</v>
      </c>
      <c r="Q216">
        <v>3</v>
      </c>
      <c r="R216">
        <v>0</v>
      </c>
      <c r="S216">
        <v>9</v>
      </c>
      <c r="T216">
        <v>9</v>
      </c>
      <c r="U216">
        <v>9</v>
      </c>
      <c r="V216">
        <v>0</v>
      </c>
      <c r="X216" t="s">
        <v>27</v>
      </c>
    </row>
    <row r="217" spans="1:24" x14ac:dyDescent="0.3">
      <c r="A217" t="s">
        <v>22</v>
      </c>
      <c r="B217" t="s">
        <v>196</v>
      </c>
      <c r="C217" t="s">
        <v>349</v>
      </c>
      <c r="D217">
        <v>32</v>
      </c>
      <c r="E217" t="s">
        <v>366</v>
      </c>
      <c r="F217" t="s">
        <v>790</v>
      </c>
      <c r="H217">
        <v>8</v>
      </c>
      <c r="I217" t="s">
        <v>791</v>
      </c>
      <c r="J217" t="s">
        <v>353</v>
      </c>
      <c r="L217">
        <v>24</v>
      </c>
      <c r="M217" t="s">
        <v>25</v>
      </c>
      <c r="N217">
        <v>0</v>
      </c>
      <c r="O217">
        <v>24</v>
      </c>
      <c r="P217">
        <v>24</v>
      </c>
      <c r="Q217">
        <v>3</v>
      </c>
      <c r="R217">
        <v>0</v>
      </c>
      <c r="S217">
        <v>8</v>
      </c>
      <c r="T217">
        <v>8</v>
      </c>
      <c r="U217">
        <v>8</v>
      </c>
      <c r="V217">
        <v>0</v>
      </c>
      <c r="X217" t="s">
        <v>27</v>
      </c>
    </row>
    <row r="218" spans="1:24" x14ac:dyDescent="0.3">
      <c r="A218" t="s">
        <v>22</v>
      </c>
      <c r="B218" t="s">
        <v>196</v>
      </c>
      <c r="C218" t="s">
        <v>349</v>
      </c>
      <c r="D218">
        <v>33</v>
      </c>
      <c r="E218" t="s">
        <v>366</v>
      </c>
      <c r="F218" t="s">
        <v>792</v>
      </c>
      <c r="H218">
        <v>3</v>
      </c>
      <c r="I218" t="s">
        <v>793</v>
      </c>
      <c r="J218" t="s">
        <v>275</v>
      </c>
      <c r="L218">
        <v>9</v>
      </c>
      <c r="M218" t="s">
        <v>25</v>
      </c>
      <c r="N218">
        <v>0</v>
      </c>
      <c r="O218">
        <v>9</v>
      </c>
      <c r="P218">
        <v>9</v>
      </c>
      <c r="Q218">
        <v>3</v>
      </c>
      <c r="R218">
        <v>0</v>
      </c>
      <c r="S218">
        <v>3</v>
      </c>
      <c r="T218">
        <v>3</v>
      </c>
      <c r="U218">
        <v>3</v>
      </c>
      <c r="V218">
        <v>0</v>
      </c>
      <c r="X218" t="s">
        <v>74</v>
      </c>
    </row>
    <row r="219" spans="1:24" x14ac:dyDescent="0.3">
      <c r="A219" t="s">
        <v>22</v>
      </c>
      <c r="B219" t="s">
        <v>196</v>
      </c>
      <c r="C219" t="s">
        <v>349</v>
      </c>
      <c r="D219">
        <v>34</v>
      </c>
      <c r="E219" t="s">
        <v>366</v>
      </c>
      <c r="F219" t="s">
        <v>794</v>
      </c>
      <c r="G219">
        <v>5</v>
      </c>
      <c r="H219">
        <v>1</v>
      </c>
      <c r="I219" t="s">
        <v>795</v>
      </c>
      <c r="J219" t="s">
        <v>796</v>
      </c>
      <c r="L219">
        <v>15</v>
      </c>
      <c r="M219" t="s">
        <v>25</v>
      </c>
      <c r="N219">
        <v>0</v>
      </c>
      <c r="O219">
        <v>15</v>
      </c>
      <c r="P219">
        <v>15</v>
      </c>
      <c r="Q219">
        <v>3</v>
      </c>
      <c r="R219">
        <v>0</v>
      </c>
      <c r="S219">
        <v>2</v>
      </c>
      <c r="T219">
        <v>2</v>
      </c>
      <c r="U219">
        <v>2</v>
      </c>
      <c r="V219">
        <v>0</v>
      </c>
      <c r="X219" t="s">
        <v>27</v>
      </c>
    </row>
    <row r="220" spans="1:24" x14ac:dyDescent="0.3">
      <c r="A220" t="s">
        <v>22</v>
      </c>
      <c r="B220" t="s">
        <v>196</v>
      </c>
      <c r="C220" t="s">
        <v>349</v>
      </c>
      <c r="D220">
        <v>35</v>
      </c>
      <c r="E220" t="s">
        <v>366</v>
      </c>
      <c r="F220" t="s">
        <v>797</v>
      </c>
      <c r="G220">
        <v>5</v>
      </c>
      <c r="H220">
        <v>4.3099999999999996</v>
      </c>
      <c r="I220" t="s">
        <v>798</v>
      </c>
      <c r="J220" t="s">
        <v>799</v>
      </c>
      <c r="L220">
        <v>22</v>
      </c>
      <c r="M220" t="s">
        <v>25</v>
      </c>
      <c r="N220">
        <v>0</v>
      </c>
      <c r="O220">
        <v>22</v>
      </c>
      <c r="P220">
        <v>22</v>
      </c>
      <c r="Q220">
        <v>3</v>
      </c>
      <c r="R220">
        <v>0</v>
      </c>
      <c r="S220">
        <v>3</v>
      </c>
      <c r="T220">
        <v>3</v>
      </c>
      <c r="U220">
        <v>3</v>
      </c>
      <c r="V220">
        <v>0</v>
      </c>
      <c r="X220" t="s">
        <v>74</v>
      </c>
    </row>
    <row r="221" spans="1:24" x14ac:dyDescent="0.3">
      <c r="A221" t="s">
        <v>22</v>
      </c>
      <c r="B221" t="s">
        <v>196</v>
      </c>
      <c r="C221" t="s">
        <v>349</v>
      </c>
      <c r="D221">
        <v>36</v>
      </c>
      <c r="E221" t="s">
        <v>366</v>
      </c>
      <c r="F221" t="s">
        <v>800</v>
      </c>
      <c r="G221">
        <v>33</v>
      </c>
      <c r="H221">
        <v>1</v>
      </c>
      <c r="I221" t="s">
        <v>795</v>
      </c>
      <c r="J221" t="s">
        <v>801</v>
      </c>
      <c r="L221">
        <v>99</v>
      </c>
      <c r="M221" t="s">
        <v>25</v>
      </c>
      <c r="N221">
        <v>0</v>
      </c>
      <c r="O221">
        <v>99</v>
      </c>
      <c r="P221">
        <v>99</v>
      </c>
      <c r="Q221">
        <v>3</v>
      </c>
      <c r="R221">
        <v>0</v>
      </c>
      <c r="S221">
        <v>33</v>
      </c>
      <c r="T221">
        <v>33</v>
      </c>
      <c r="U221">
        <v>33</v>
      </c>
      <c r="V221">
        <v>0</v>
      </c>
      <c r="X221" t="s">
        <v>27</v>
      </c>
    </row>
    <row r="222" spans="1:24" x14ac:dyDescent="0.3">
      <c r="A222" t="s">
        <v>22</v>
      </c>
      <c r="B222" t="s">
        <v>196</v>
      </c>
      <c r="C222" t="s">
        <v>349</v>
      </c>
      <c r="D222">
        <v>37</v>
      </c>
      <c r="E222" t="s">
        <v>366</v>
      </c>
      <c r="F222" t="s">
        <v>802</v>
      </c>
      <c r="H222">
        <v>0.36</v>
      </c>
      <c r="I222" t="s">
        <v>803</v>
      </c>
      <c r="J222" t="s">
        <v>804</v>
      </c>
      <c r="L222">
        <v>12</v>
      </c>
      <c r="M222" t="s">
        <v>25</v>
      </c>
      <c r="N222">
        <v>0</v>
      </c>
      <c r="O222">
        <v>12</v>
      </c>
      <c r="P222">
        <v>12</v>
      </c>
      <c r="Q222">
        <v>3</v>
      </c>
      <c r="R222">
        <v>0</v>
      </c>
      <c r="S222">
        <v>4</v>
      </c>
      <c r="T222">
        <v>4</v>
      </c>
      <c r="U222">
        <v>4</v>
      </c>
      <c r="V222">
        <v>0</v>
      </c>
      <c r="X222" t="s">
        <v>74</v>
      </c>
    </row>
    <row r="223" spans="1:24" x14ac:dyDescent="0.3">
      <c r="A223" t="s">
        <v>22</v>
      </c>
      <c r="B223" t="s">
        <v>196</v>
      </c>
      <c r="C223" t="s">
        <v>349</v>
      </c>
      <c r="D223">
        <v>38</v>
      </c>
      <c r="E223" t="s">
        <v>366</v>
      </c>
      <c r="F223" t="s">
        <v>237</v>
      </c>
      <c r="H223">
        <v>1</v>
      </c>
      <c r="I223" t="s">
        <v>744</v>
      </c>
      <c r="J223" t="s">
        <v>227</v>
      </c>
      <c r="L223">
        <v>3</v>
      </c>
      <c r="M223" t="s">
        <v>25</v>
      </c>
      <c r="N223">
        <v>0</v>
      </c>
      <c r="O223">
        <v>3</v>
      </c>
      <c r="P223">
        <v>3</v>
      </c>
      <c r="Q223">
        <v>3</v>
      </c>
      <c r="R223">
        <v>0</v>
      </c>
      <c r="S223">
        <v>1</v>
      </c>
      <c r="T223">
        <v>1</v>
      </c>
      <c r="U223">
        <v>1</v>
      </c>
      <c r="V223">
        <v>0</v>
      </c>
      <c r="X223" t="s">
        <v>27</v>
      </c>
    </row>
    <row r="224" spans="1:24" x14ac:dyDescent="0.3">
      <c r="A224" t="s">
        <v>22</v>
      </c>
      <c r="B224" t="s">
        <v>196</v>
      </c>
      <c r="C224" t="s">
        <v>349</v>
      </c>
      <c r="D224">
        <v>39</v>
      </c>
      <c r="E224" t="s">
        <v>366</v>
      </c>
      <c r="F224" t="s">
        <v>805</v>
      </c>
      <c r="H224">
        <v>0.67</v>
      </c>
      <c r="I224" t="s">
        <v>806</v>
      </c>
      <c r="J224" t="s">
        <v>807</v>
      </c>
      <c r="L224">
        <v>22</v>
      </c>
      <c r="M224" t="s">
        <v>25</v>
      </c>
      <c r="N224">
        <v>0</v>
      </c>
      <c r="O224">
        <v>22</v>
      </c>
      <c r="P224">
        <v>22</v>
      </c>
      <c r="Q224">
        <v>3</v>
      </c>
      <c r="R224">
        <v>0</v>
      </c>
      <c r="S224">
        <v>8</v>
      </c>
      <c r="T224">
        <v>8</v>
      </c>
      <c r="U224">
        <v>7</v>
      </c>
      <c r="V224">
        <v>0</v>
      </c>
      <c r="X224" t="s">
        <v>74</v>
      </c>
    </row>
    <row r="225" spans="1:24" x14ac:dyDescent="0.3">
      <c r="A225" t="s">
        <v>22</v>
      </c>
      <c r="B225" t="s">
        <v>196</v>
      </c>
      <c r="C225" t="s">
        <v>349</v>
      </c>
      <c r="D225">
        <v>40</v>
      </c>
      <c r="E225" t="s">
        <v>366</v>
      </c>
      <c r="F225" t="s">
        <v>808</v>
      </c>
      <c r="G225">
        <v>34</v>
      </c>
      <c r="H225">
        <v>1</v>
      </c>
      <c r="I225" t="s">
        <v>795</v>
      </c>
      <c r="J225" t="s">
        <v>809</v>
      </c>
      <c r="L225">
        <v>102</v>
      </c>
      <c r="M225" t="s">
        <v>25</v>
      </c>
      <c r="N225">
        <v>0</v>
      </c>
      <c r="O225">
        <v>102</v>
      </c>
      <c r="P225">
        <v>102</v>
      </c>
      <c r="Q225">
        <v>3</v>
      </c>
      <c r="R225">
        <v>0</v>
      </c>
      <c r="S225">
        <v>34</v>
      </c>
      <c r="T225">
        <v>34</v>
      </c>
      <c r="U225">
        <v>34</v>
      </c>
      <c r="V225">
        <v>0</v>
      </c>
      <c r="X225" t="s">
        <v>27</v>
      </c>
    </row>
    <row r="226" spans="1:24" x14ac:dyDescent="0.3">
      <c r="A226" t="s">
        <v>22</v>
      </c>
      <c r="B226" t="s">
        <v>196</v>
      </c>
      <c r="C226" t="s">
        <v>349</v>
      </c>
      <c r="D226">
        <v>41</v>
      </c>
      <c r="E226" t="s">
        <v>366</v>
      </c>
      <c r="F226" t="s">
        <v>810</v>
      </c>
      <c r="H226">
        <v>2.1</v>
      </c>
      <c r="I226" t="s">
        <v>811</v>
      </c>
      <c r="J226" t="s">
        <v>812</v>
      </c>
      <c r="L226">
        <v>71</v>
      </c>
      <c r="M226" t="s">
        <v>25</v>
      </c>
      <c r="N226">
        <v>0</v>
      </c>
      <c r="O226">
        <v>71</v>
      </c>
      <c r="P226">
        <v>71</v>
      </c>
      <c r="Q226">
        <v>3</v>
      </c>
      <c r="R226">
        <v>0</v>
      </c>
      <c r="S226">
        <v>24</v>
      </c>
      <c r="T226">
        <v>24</v>
      </c>
      <c r="U226">
        <v>23</v>
      </c>
      <c r="V226">
        <v>0</v>
      </c>
      <c r="X226" t="s">
        <v>74</v>
      </c>
    </row>
    <row r="227" spans="1:24" x14ac:dyDescent="0.3">
      <c r="A227" t="s">
        <v>22</v>
      </c>
      <c r="B227" t="s">
        <v>196</v>
      </c>
      <c r="C227" t="s">
        <v>349</v>
      </c>
      <c r="D227">
        <v>42</v>
      </c>
      <c r="E227" t="s">
        <v>368</v>
      </c>
      <c r="F227" t="s">
        <v>813</v>
      </c>
      <c r="H227">
        <v>8</v>
      </c>
      <c r="I227" t="s">
        <v>814</v>
      </c>
      <c r="J227" t="s">
        <v>353</v>
      </c>
      <c r="L227">
        <v>24</v>
      </c>
      <c r="M227" t="s">
        <v>25</v>
      </c>
      <c r="N227">
        <v>0</v>
      </c>
      <c r="O227">
        <v>24</v>
      </c>
      <c r="P227">
        <v>24</v>
      </c>
      <c r="Q227">
        <v>3</v>
      </c>
      <c r="R227">
        <v>0</v>
      </c>
      <c r="S227">
        <v>8</v>
      </c>
      <c r="T227">
        <v>8</v>
      </c>
      <c r="U227">
        <v>8</v>
      </c>
      <c r="V227">
        <v>0</v>
      </c>
      <c r="X227" t="s">
        <v>27</v>
      </c>
    </row>
    <row r="228" spans="1:24" x14ac:dyDescent="0.3">
      <c r="A228" t="s">
        <v>22</v>
      </c>
      <c r="B228" t="s">
        <v>196</v>
      </c>
      <c r="C228" t="s">
        <v>349</v>
      </c>
      <c r="D228">
        <v>43</v>
      </c>
      <c r="E228" t="s">
        <v>368</v>
      </c>
      <c r="F228" t="s">
        <v>815</v>
      </c>
      <c r="H228">
        <v>3</v>
      </c>
      <c r="I228" t="s">
        <v>816</v>
      </c>
      <c r="J228" t="s">
        <v>275</v>
      </c>
      <c r="L228">
        <v>9</v>
      </c>
      <c r="M228" t="s">
        <v>25</v>
      </c>
      <c r="N228">
        <v>0</v>
      </c>
      <c r="O228">
        <v>9</v>
      </c>
      <c r="P228">
        <v>9</v>
      </c>
      <c r="Q228">
        <v>3</v>
      </c>
      <c r="R228">
        <v>0</v>
      </c>
      <c r="S228">
        <v>3</v>
      </c>
      <c r="T228">
        <v>3</v>
      </c>
      <c r="U228">
        <v>3</v>
      </c>
      <c r="V228">
        <v>0</v>
      </c>
      <c r="X228" t="s">
        <v>27</v>
      </c>
    </row>
    <row r="229" spans="1:24" x14ac:dyDescent="0.3">
      <c r="A229" t="s">
        <v>22</v>
      </c>
      <c r="B229" t="s">
        <v>196</v>
      </c>
      <c r="C229" t="s">
        <v>349</v>
      </c>
      <c r="D229">
        <v>44</v>
      </c>
      <c r="E229" t="s">
        <v>368</v>
      </c>
      <c r="F229" t="s">
        <v>817</v>
      </c>
      <c r="H229">
        <v>4</v>
      </c>
      <c r="I229" t="s">
        <v>818</v>
      </c>
      <c r="J229" t="s">
        <v>298</v>
      </c>
      <c r="L229">
        <v>12</v>
      </c>
      <c r="M229" t="s">
        <v>25</v>
      </c>
      <c r="N229">
        <v>0</v>
      </c>
      <c r="O229">
        <v>12</v>
      </c>
      <c r="P229">
        <v>12</v>
      </c>
      <c r="Q229">
        <v>3</v>
      </c>
      <c r="R229">
        <v>0</v>
      </c>
      <c r="S229">
        <v>4</v>
      </c>
      <c r="T229">
        <v>4</v>
      </c>
      <c r="U229">
        <v>4</v>
      </c>
      <c r="V229">
        <v>0</v>
      </c>
      <c r="X229" t="s">
        <v>27</v>
      </c>
    </row>
    <row r="230" spans="1:24" x14ac:dyDescent="0.3">
      <c r="A230" t="s">
        <v>22</v>
      </c>
      <c r="B230" t="s">
        <v>196</v>
      </c>
      <c r="C230" t="s">
        <v>349</v>
      </c>
      <c r="D230">
        <v>45</v>
      </c>
      <c r="E230" t="s">
        <v>368</v>
      </c>
      <c r="F230" t="s">
        <v>819</v>
      </c>
      <c r="H230">
        <v>5</v>
      </c>
      <c r="I230" t="s">
        <v>820</v>
      </c>
      <c r="J230" t="s">
        <v>820</v>
      </c>
      <c r="L230">
        <v>5</v>
      </c>
      <c r="M230" t="s">
        <v>25</v>
      </c>
      <c r="N230">
        <v>0</v>
      </c>
      <c r="O230">
        <v>5</v>
      </c>
      <c r="P230">
        <v>5</v>
      </c>
      <c r="Q230">
        <v>3</v>
      </c>
      <c r="R230">
        <v>0</v>
      </c>
      <c r="S230">
        <v>2</v>
      </c>
      <c r="T230">
        <v>2</v>
      </c>
      <c r="U230">
        <v>1</v>
      </c>
      <c r="V230">
        <v>0</v>
      </c>
      <c r="X230" t="s">
        <v>27</v>
      </c>
    </row>
    <row r="231" spans="1:24" x14ac:dyDescent="0.3">
      <c r="A231" t="s">
        <v>22</v>
      </c>
      <c r="B231" t="s">
        <v>196</v>
      </c>
      <c r="C231" t="s">
        <v>349</v>
      </c>
      <c r="D231">
        <v>46</v>
      </c>
      <c r="E231" t="s">
        <v>368</v>
      </c>
      <c r="F231" t="s">
        <v>821</v>
      </c>
      <c r="H231">
        <v>1</v>
      </c>
      <c r="I231" t="s">
        <v>822</v>
      </c>
      <c r="J231" t="s">
        <v>236</v>
      </c>
      <c r="L231">
        <v>1</v>
      </c>
      <c r="M231" t="s">
        <v>25</v>
      </c>
      <c r="N231">
        <v>0</v>
      </c>
      <c r="O231">
        <v>1</v>
      </c>
      <c r="P231">
        <v>1</v>
      </c>
      <c r="Q231">
        <v>3</v>
      </c>
      <c r="R231">
        <v>0</v>
      </c>
      <c r="S231">
        <v>1</v>
      </c>
      <c r="T231">
        <v>0</v>
      </c>
      <c r="U231">
        <v>0</v>
      </c>
      <c r="V231">
        <v>0</v>
      </c>
      <c r="X231" t="s">
        <v>74</v>
      </c>
    </row>
    <row r="232" spans="1:24" x14ac:dyDescent="0.3">
      <c r="A232" t="s">
        <v>22</v>
      </c>
      <c r="B232" t="s">
        <v>196</v>
      </c>
      <c r="C232" t="s">
        <v>349</v>
      </c>
      <c r="D232">
        <v>47</v>
      </c>
      <c r="E232" t="s">
        <v>368</v>
      </c>
      <c r="F232" t="s">
        <v>823</v>
      </c>
      <c r="H232">
        <v>3</v>
      </c>
      <c r="I232" t="s">
        <v>735</v>
      </c>
      <c r="J232" t="s">
        <v>275</v>
      </c>
      <c r="L232">
        <v>9</v>
      </c>
      <c r="M232" t="s">
        <v>25</v>
      </c>
      <c r="N232">
        <v>0</v>
      </c>
      <c r="O232">
        <v>9</v>
      </c>
      <c r="P232">
        <v>9</v>
      </c>
      <c r="Q232">
        <v>3</v>
      </c>
      <c r="R232">
        <v>0</v>
      </c>
      <c r="S232">
        <v>3</v>
      </c>
      <c r="T232">
        <v>3</v>
      </c>
      <c r="U232">
        <v>3</v>
      </c>
      <c r="V232">
        <v>0</v>
      </c>
      <c r="X232" t="s">
        <v>74</v>
      </c>
    </row>
    <row r="233" spans="1:24" x14ac:dyDescent="0.3">
      <c r="A233" t="s">
        <v>22</v>
      </c>
      <c r="B233" t="s">
        <v>196</v>
      </c>
      <c r="C233" t="s">
        <v>349</v>
      </c>
      <c r="D233">
        <v>48</v>
      </c>
      <c r="E233" t="s">
        <v>370</v>
      </c>
      <c r="F233" t="s">
        <v>824</v>
      </c>
      <c r="H233">
        <v>4</v>
      </c>
      <c r="I233" t="s">
        <v>726</v>
      </c>
      <c r="J233" t="s">
        <v>298</v>
      </c>
      <c r="L233">
        <v>12</v>
      </c>
      <c r="M233" t="s">
        <v>25</v>
      </c>
      <c r="N233">
        <v>0</v>
      </c>
      <c r="O233">
        <v>12</v>
      </c>
      <c r="P233">
        <v>12</v>
      </c>
      <c r="Q233">
        <v>3</v>
      </c>
      <c r="R233">
        <v>0</v>
      </c>
      <c r="S233">
        <v>4</v>
      </c>
      <c r="T233">
        <v>4</v>
      </c>
      <c r="U233">
        <v>4</v>
      </c>
      <c r="V233">
        <v>0</v>
      </c>
      <c r="X233" t="s">
        <v>27</v>
      </c>
    </row>
    <row r="234" spans="1:24" x14ac:dyDescent="0.3">
      <c r="A234" t="s">
        <v>22</v>
      </c>
      <c r="B234" t="s">
        <v>196</v>
      </c>
      <c r="C234" t="s">
        <v>349</v>
      </c>
      <c r="D234">
        <v>49</v>
      </c>
      <c r="E234" t="s">
        <v>370</v>
      </c>
      <c r="F234" t="s">
        <v>825</v>
      </c>
      <c r="H234">
        <v>10</v>
      </c>
      <c r="I234" t="s">
        <v>826</v>
      </c>
      <c r="J234" t="s">
        <v>827</v>
      </c>
      <c r="L234">
        <v>30</v>
      </c>
      <c r="M234" t="s">
        <v>25</v>
      </c>
      <c r="N234">
        <v>0</v>
      </c>
      <c r="O234">
        <v>30</v>
      </c>
      <c r="P234">
        <v>30</v>
      </c>
      <c r="Q234">
        <v>3</v>
      </c>
      <c r="R234">
        <v>0</v>
      </c>
      <c r="S234">
        <v>10</v>
      </c>
      <c r="T234">
        <v>10</v>
      </c>
      <c r="U234">
        <v>10</v>
      </c>
      <c r="V234">
        <v>0</v>
      </c>
      <c r="X234" t="s">
        <v>27</v>
      </c>
    </row>
    <row r="235" spans="1:24" x14ac:dyDescent="0.3">
      <c r="A235" t="s">
        <v>22</v>
      </c>
      <c r="B235" t="s">
        <v>196</v>
      </c>
      <c r="C235" t="s">
        <v>349</v>
      </c>
      <c r="D235">
        <v>50</v>
      </c>
      <c r="E235" t="s">
        <v>370</v>
      </c>
      <c r="F235" t="s">
        <v>828</v>
      </c>
      <c r="H235">
        <v>6</v>
      </c>
      <c r="I235" t="s">
        <v>829</v>
      </c>
      <c r="J235" t="s">
        <v>290</v>
      </c>
      <c r="L235">
        <v>18</v>
      </c>
      <c r="M235" t="s">
        <v>25</v>
      </c>
      <c r="N235">
        <v>0</v>
      </c>
      <c r="O235">
        <v>18</v>
      </c>
      <c r="P235">
        <v>18</v>
      </c>
      <c r="Q235">
        <v>3</v>
      </c>
      <c r="R235">
        <v>0</v>
      </c>
      <c r="S235">
        <v>6</v>
      </c>
      <c r="T235">
        <v>6</v>
      </c>
      <c r="U235">
        <v>6</v>
      </c>
      <c r="V235">
        <v>0</v>
      </c>
      <c r="X235" t="s">
        <v>74</v>
      </c>
    </row>
    <row r="236" spans="1:24" x14ac:dyDescent="0.3">
      <c r="A236" t="s">
        <v>22</v>
      </c>
      <c r="B236" t="s">
        <v>196</v>
      </c>
      <c r="C236" t="s">
        <v>349</v>
      </c>
      <c r="D236">
        <v>51</v>
      </c>
      <c r="E236" t="s">
        <v>370</v>
      </c>
      <c r="F236" t="s">
        <v>830</v>
      </c>
      <c r="H236">
        <v>0.46</v>
      </c>
      <c r="I236" t="s">
        <v>831</v>
      </c>
      <c r="J236" t="s">
        <v>832</v>
      </c>
      <c r="L236">
        <v>362.7</v>
      </c>
      <c r="M236" t="s">
        <v>25</v>
      </c>
      <c r="N236">
        <v>0</v>
      </c>
      <c r="O236">
        <v>362.7</v>
      </c>
      <c r="P236">
        <v>362.7</v>
      </c>
      <c r="Q236">
        <v>3</v>
      </c>
      <c r="R236">
        <v>0</v>
      </c>
      <c r="S236">
        <v>121</v>
      </c>
      <c r="T236">
        <v>121</v>
      </c>
      <c r="U236">
        <v>121</v>
      </c>
      <c r="V236">
        <v>0</v>
      </c>
      <c r="X236" t="s">
        <v>74</v>
      </c>
    </row>
    <row r="237" spans="1:24" x14ac:dyDescent="0.3">
      <c r="A237" t="s">
        <v>22</v>
      </c>
      <c r="B237" t="s">
        <v>196</v>
      </c>
      <c r="C237" t="s">
        <v>349</v>
      </c>
      <c r="D237">
        <v>52</v>
      </c>
      <c r="E237" t="s">
        <v>370</v>
      </c>
      <c r="F237" t="s">
        <v>545</v>
      </c>
      <c r="H237">
        <v>0.93</v>
      </c>
      <c r="I237" t="s">
        <v>833</v>
      </c>
      <c r="J237" t="s">
        <v>834</v>
      </c>
      <c r="L237">
        <v>161.6</v>
      </c>
      <c r="M237" t="s">
        <v>25</v>
      </c>
      <c r="N237">
        <v>0</v>
      </c>
      <c r="O237">
        <v>161.6</v>
      </c>
      <c r="P237">
        <v>161.6</v>
      </c>
      <c r="Q237">
        <v>3</v>
      </c>
      <c r="R237">
        <v>0</v>
      </c>
      <c r="S237">
        <v>54</v>
      </c>
      <c r="T237">
        <v>54</v>
      </c>
      <c r="U237">
        <v>54</v>
      </c>
      <c r="V237">
        <v>0</v>
      </c>
      <c r="X237" t="s">
        <v>74</v>
      </c>
    </row>
    <row r="238" spans="1:24" x14ac:dyDescent="0.3">
      <c r="A238" t="s">
        <v>22</v>
      </c>
      <c r="B238" t="s">
        <v>196</v>
      </c>
      <c r="C238" t="s">
        <v>349</v>
      </c>
      <c r="D238">
        <v>53</v>
      </c>
      <c r="E238" t="s">
        <v>370</v>
      </c>
      <c r="F238" t="s">
        <v>835</v>
      </c>
      <c r="H238">
        <v>1</v>
      </c>
      <c r="I238" t="s">
        <v>786</v>
      </c>
      <c r="J238" t="s">
        <v>227</v>
      </c>
      <c r="L238">
        <v>3</v>
      </c>
      <c r="M238" t="s">
        <v>25</v>
      </c>
      <c r="N238">
        <v>0</v>
      </c>
      <c r="O238">
        <v>3</v>
      </c>
      <c r="P238">
        <v>3</v>
      </c>
      <c r="Q238">
        <v>3</v>
      </c>
      <c r="R238">
        <v>0</v>
      </c>
      <c r="S238">
        <v>1</v>
      </c>
      <c r="T238">
        <v>1</v>
      </c>
      <c r="U238">
        <v>1</v>
      </c>
      <c r="V238">
        <v>0</v>
      </c>
      <c r="X238" t="s">
        <v>74</v>
      </c>
    </row>
    <row r="239" spans="1:24" x14ac:dyDescent="0.3">
      <c r="A239" t="s">
        <v>22</v>
      </c>
      <c r="B239" t="s">
        <v>196</v>
      </c>
      <c r="C239" t="s">
        <v>349</v>
      </c>
      <c r="D239">
        <v>54</v>
      </c>
      <c r="E239" t="s">
        <v>370</v>
      </c>
      <c r="F239" t="s">
        <v>836</v>
      </c>
      <c r="H239">
        <v>6</v>
      </c>
      <c r="I239" t="s">
        <v>829</v>
      </c>
      <c r="J239" t="s">
        <v>290</v>
      </c>
      <c r="L239">
        <v>18</v>
      </c>
      <c r="M239" t="s">
        <v>25</v>
      </c>
      <c r="N239">
        <v>0</v>
      </c>
      <c r="O239">
        <v>18</v>
      </c>
      <c r="P239">
        <v>18</v>
      </c>
      <c r="Q239">
        <v>3</v>
      </c>
      <c r="R239">
        <v>0</v>
      </c>
      <c r="S239">
        <v>6</v>
      </c>
      <c r="T239">
        <v>6</v>
      </c>
      <c r="U239">
        <v>6</v>
      </c>
      <c r="V239">
        <v>0</v>
      </c>
      <c r="X239" t="s">
        <v>74</v>
      </c>
    </row>
    <row r="240" spans="1:24" x14ac:dyDescent="0.3">
      <c r="A240" t="s">
        <v>22</v>
      </c>
      <c r="B240" t="s">
        <v>196</v>
      </c>
      <c r="C240" t="s">
        <v>349</v>
      </c>
      <c r="D240">
        <v>55</v>
      </c>
      <c r="E240" t="s">
        <v>370</v>
      </c>
      <c r="F240" t="s">
        <v>837</v>
      </c>
      <c r="H240">
        <v>5</v>
      </c>
      <c r="I240" t="s">
        <v>838</v>
      </c>
      <c r="J240" t="s">
        <v>354</v>
      </c>
      <c r="L240">
        <v>15</v>
      </c>
      <c r="M240" t="s">
        <v>25</v>
      </c>
      <c r="N240">
        <v>0</v>
      </c>
      <c r="O240">
        <v>15</v>
      </c>
      <c r="P240">
        <v>15</v>
      </c>
      <c r="Q240">
        <v>3</v>
      </c>
      <c r="R240">
        <v>0</v>
      </c>
      <c r="S240">
        <v>5</v>
      </c>
      <c r="T240">
        <v>5</v>
      </c>
      <c r="U240">
        <v>5</v>
      </c>
      <c r="V240">
        <v>0</v>
      </c>
      <c r="X240" t="s">
        <v>27</v>
      </c>
    </row>
    <row r="241" spans="1:24" x14ac:dyDescent="0.3">
      <c r="A241" t="s">
        <v>22</v>
      </c>
      <c r="B241" t="s">
        <v>196</v>
      </c>
      <c r="C241" t="s">
        <v>349</v>
      </c>
      <c r="D241">
        <v>56</v>
      </c>
      <c r="E241" t="s">
        <v>370</v>
      </c>
      <c r="F241" t="s">
        <v>839</v>
      </c>
      <c r="H241">
        <v>1</v>
      </c>
      <c r="I241" t="s">
        <v>840</v>
      </c>
      <c r="J241" t="s">
        <v>227</v>
      </c>
      <c r="L241">
        <v>3</v>
      </c>
      <c r="M241" t="s">
        <v>25</v>
      </c>
      <c r="N241">
        <v>0</v>
      </c>
      <c r="O241">
        <v>3</v>
      </c>
      <c r="P241">
        <v>3</v>
      </c>
      <c r="Q241">
        <v>3</v>
      </c>
      <c r="R241">
        <v>0</v>
      </c>
      <c r="S241">
        <v>1</v>
      </c>
      <c r="T241">
        <v>1</v>
      </c>
      <c r="U241">
        <v>1</v>
      </c>
      <c r="V241">
        <v>0</v>
      </c>
      <c r="X241" t="s">
        <v>27</v>
      </c>
    </row>
    <row r="242" spans="1:24" x14ac:dyDescent="0.3">
      <c r="A242" t="s">
        <v>22</v>
      </c>
      <c r="B242" t="s">
        <v>196</v>
      </c>
      <c r="C242" t="s">
        <v>349</v>
      </c>
      <c r="D242">
        <v>57</v>
      </c>
      <c r="E242" t="s">
        <v>370</v>
      </c>
      <c r="F242" t="s">
        <v>841</v>
      </c>
      <c r="H242">
        <v>8</v>
      </c>
      <c r="I242" t="s">
        <v>842</v>
      </c>
      <c r="J242" t="s">
        <v>353</v>
      </c>
      <c r="L242">
        <v>24</v>
      </c>
      <c r="M242" t="s">
        <v>25</v>
      </c>
      <c r="N242">
        <v>0</v>
      </c>
      <c r="O242">
        <v>24</v>
      </c>
      <c r="P242">
        <v>24</v>
      </c>
      <c r="Q242">
        <v>3</v>
      </c>
      <c r="R242">
        <v>0</v>
      </c>
      <c r="S242">
        <v>8</v>
      </c>
      <c r="T242">
        <v>8</v>
      </c>
      <c r="U242">
        <v>8</v>
      </c>
      <c r="V242">
        <v>0</v>
      </c>
      <c r="X242" t="s">
        <v>27</v>
      </c>
    </row>
    <row r="243" spans="1:24" x14ac:dyDescent="0.3">
      <c r="A243" t="s">
        <v>22</v>
      </c>
      <c r="B243" t="s">
        <v>196</v>
      </c>
      <c r="C243" t="s">
        <v>349</v>
      </c>
      <c r="D243">
        <v>58</v>
      </c>
      <c r="E243" t="s">
        <v>370</v>
      </c>
      <c r="F243" t="s">
        <v>843</v>
      </c>
      <c r="H243">
        <v>5</v>
      </c>
      <c r="I243" t="s">
        <v>844</v>
      </c>
      <c r="J243" t="s">
        <v>354</v>
      </c>
      <c r="L243">
        <v>15</v>
      </c>
      <c r="M243" t="s">
        <v>25</v>
      </c>
      <c r="N243">
        <v>0</v>
      </c>
      <c r="O243">
        <v>15</v>
      </c>
      <c r="P243">
        <v>15</v>
      </c>
      <c r="Q243">
        <v>3</v>
      </c>
      <c r="R243">
        <v>0</v>
      </c>
      <c r="S243">
        <v>5</v>
      </c>
      <c r="T243">
        <v>5</v>
      </c>
      <c r="U243">
        <v>5</v>
      </c>
      <c r="V243">
        <v>0</v>
      </c>
      <c r="X243" t="s">
        <v>74</v>
      </c>
    </row>
    <row r="244" spans="1:24" x14ac:dyDescent="0.3">
      <c r="A244" t="s">
        <v>22</v>
      </c>
      <c r="B244" t="s">
        <v>196</v>
      </c>
      <c r="C244" t="s">
        <v>349</v>
      </c>
      <c r="D244">
        <v>59</v>
      </c>
      <c r="E244" t="s">
        <v>370</v>
      </c>
      <c r="F244" t="s">
        <v>845</v>
      </c>
      <c r="H244">
        <v>2</v>
      </c>
      <c r="I244" t="s">
        <v>760</v>
      </c>
      <c r="J244" t="s">
        <v>214</v>
      </c>
      <c r="L244">
        <v>6</v>
      </c>
      <c r="M244" t="s">
        <v>25</v>
      </c>
      <c r="N244">
        <v>0</v>
      </c>
      <c r="O244">
        <v>6</v>
      </c>
      <c r="P244">
        <v>6</v>
      </c>
      <c r="Q244">
        <v>3</v>
      </c>
      <c r="R244">
        <v>0</v>
      </c>
      <c r="S244">
        <v>2</v>
      </c>
      <c r="T244">
        <v>2</v>
      </c>
      <c r="U244">
        <v>2</v>
      </c>
      <c r="V244">
        <v>0</v>
      </c>
      <c r="X244" t="s">
        <v>74</v>
      </c>
    </row>
    <row r="245" spans="1:24" x14ac:dyDescent="0.3">
      <c r="A245" t="s">
        <v>22</v>
      </c>
      <c r="B245" t="s">
        <v>196</v>
      </c>
      <c r="C245" t="s">
        <v>349</v>
      </c>
      <c r="D245">
        <v>60</v>
      </c>
      <c r="E245" t="s">
        <v>370</v>
      </c>
      <c r="F245" t="s">
        <v>846</v>
      </c>
      <c r="H245">
        <v>5</v>
      </c>
      <c r="I245" t="s">
        <v>844</v>
      </c>
      <c r="J245" t="s">
        <v>354</v>
      </c>
      <c r="L245">
        <v>15</v>
      </c>
      <c r="M245" t="s">
        <v>25</v>
      </c>
      <c r="N245">
        <v>0</v>
      </c>
      <c r="O245">
        <v>15</v>
      </c>
      <c r="P245">
        <v>15</v>
      </c>
      <c r="Q245">
        <v>3</v>
      </c>
      <c r="R245">
        <v>0</v>
      </c>
      <c r="S245">
        <v>5</v>
      </c>
      <c r="T245">
        <v>5</v>
      </c>
      <c r="U245">
        <v>5</v>
      </c>
      <c r="V245">
        <v>0</v>
      </c>
      <c r="X245" t="s">
        <v>74</v>
      </c>
    </row>
    <row r="246" spans="1:24" x14ac:dyDescent="0.3">
      <c r="A246" t="s">
        <v>22</v>
      </c>
      <c r="B246" t="s">
        <v>196</v>
      </c>
      <c r="C246" t="s">
        <v>349</v>
      </c>
      <c r="D246">
        <v>61</v>
      </c>
      <c r="E246" t="s">
        <v>370</v>
      </c>
      <c r="F246" t="s">
        <v>847</v>
      </c>
      <c r="H246">
        <v>3</v>
      </c>
      <c r="I246" t="s">
        <v>735</v>
      </c>
      <c r="J246" t="s">
        <v>275</v>
      </c>
      <c r="L246">
        <v>9</v>
      </c>
      <c r="M246" t="s">
        <v>25</v>
      </c>
      <c r="N246">
        <v>0</v>
      </c>
      <c r="O246">
        <v>9</v>
      </c>
      <c r="P246">
        <v>9</v>
      </c>
      <c r="Q246">
        <v>3</v>
      </c>
      <c r="R246">
        <v>0</v>
      </c>
      <c r="S246">
        <v>3</v>
      </c>
      <c r="T246">
        <v>3</v>
      </c>
      <c r="U246">
        <v>3</v>
      </c>
      <c r="V246">
        <v>0</v>
      </c>
      <c r="X246" t="s">
        <v>74</v>
      </c>
    </row>
    <row r="247" spans="1:24" x14ac:dyDescent="0.3">
      <c r="A247" t="s">
        <v>22</v>
      </c>
      <c r="B247" t="s">
        <v>196</v>
      </c>
      <c r="C247" t="s">
        <v>349</v>
      </c>
      <c r="D247">
        <v>62</v>
      </c>
      <c r="E247" t="s">
        <v>370</v>
      </c>
      <c r="F247" t="s">
        <v>848</v>
      </c>
      <c r="H247">
        <v>1</v>
      </c>
      <c r="I247" t="s">
        <v>786</v>
      </c>
      <c r="J247" t="s">
        <v>227</v>
      </c>
      <c r="L247">
        <v>3</v>
      </c>
      <c r="M247" t="s">
        <v>25</v>
      </c>
      <c r="N247">
        <v>0</v>
      </c>
      <c r="O247">
        <v>3</v>
      </c>
      <c r="P247">
        <v>3</v>
      </c>
      <c r="Q247">
        <v>3</v>
      </c>
      <c r="R247">
        <v>0</v>
      </c>
      <c r="S247">
        <v>1</v>
      </c>
      <c r="T247">
        <v>1</v>
      </c>
      <c r="U247">
        <v>1</v>
      </c>
      <c r="V247">
        <v>0</v>
      </c>
      <c r="X247" t="s">
        <v>74</v>
      </c>
    </row>
    <row r="248" spans="1:24" x14ac:dyDescent="0.3">
      <c r="A248" t="s">
        <v>22</v>
      </c>
      <c r="B248" t="s">
        <v>196</v>
      </c>
      <c r="C248" t="s">
        <v>349</v>
      </c>
      <c r="D248">
        <v>63</v>
      </c>
      <c r="E248" t="s">
        <v>370</v>
      </c>
      <c r="F248" t="s">
        <v>849</v>
      </c>
      <c r="H248">
        <v>2</v>
      </c>
      <c r="I248" t="s">
        <v>760</v>
      </c>
      <c r="J248" t="s">
        <v>214</v>
      </c>
      <c r="L248">
        <v>6</v>
      </c>
      <c r="M248" t="s">
        <v>25</v>
      </c>
      <c r="N248">
        <v>0</v>
      </c>
      <c r="O248">
        <v>6</v>
      </c>
      <c r="P248">
        <v>6</v>
      </c>
      <c r="Q248">
        <v>3</v>
      </c>
      <c r="R248">
        <v>0</v>
      </c>
      <c r="S248">
        <v>2</v>
      </c>
      <c r="T248">
        <v>2</v>
      </c>
      <c r="U248">
        <v>2</v>
      </c>
      <c r="V248">
        <v>0</v>
      </c>
      <c r="X248" t="s">
        <v>74</v>
      </c>
    </row>
    <row r="249" spans="1:24" x14ac:dyDescent="0.3">
      <c r="A249" t="s">
        <v>22</v>
      </c>
      <c r="B249" t="s">
        <v>196</v>
      </c>
      <c r="C249" t="s">
        <v>349</v>
      </c>
      <c r="D249">
        <v>64</v>
      </c>
      <c r="E249" t="s">
        <v>370</v>
      </c>
      <c r="F249" t="s">
        <v>850</v>
      </c>
      <c r="H249">
        <v>5</v>
      </c>
      <c r="I249" t="s">
        <v>844</v>
      </c>
      <c r="J249" t="s">
        <v>354</v>
      </c>
      <c r="L249">
        <v>15</v>
      </c>
      <c r="M249" t="s">
        <v>25</v>
      </c>
      <c r="N249">
        <v>0</v>
      </c>
      <c r="O249">
        <v>15</v>
      </c>
      <c r="P249">
        <v>15</v>
      </c>
      <c r="Q249">
        <v>3</v>
      </c>
      <c r="R249">
        <v>0</v>
      </c>
      <c r="S249">
        <v>5</v>
      </c>
      <c r="T249">
        <v>5</v>
      </c>
      <c r="U249">
        <v>5</v>
      </c>
      <c r="V249">
        <v>0</v>
      </c>
      <c r="X249" t="s">
        <v>74</v>
      </c>
    </row>
    <row r="250" spans="1:24" x14ac:dyDescent="0.3">
      <c r="A250" t="s">
        <v>22</v>
      </c>
      <c r="B250" t="s">
        <v>196</v>
      </c>
      <c r="C250" t="s">
        <v>349</v>
      </c>
      <c r="D250">
        <v>65</v>
      </c>
      <c r="E250" t="s">
        <v>370</v>
      </c>
      <c r="F250" t="s">
        <v>851</v>
      </c>
      <c r="H250">
        <v>2</v>
      </c>
      <c r="I250" t="s">
        <v>760</v>
      </c>
      <c r="J250" t="s">
        <v>214</v>
      </c>
      <c r="L250">
        <v>6</v>
      </c>
      <c r="M250" t="s">
        <v>25</v>
      </c>
      <c r="N250">
        <v>0</v>
      </c>
      <c r="O250">
        <v>6</v>
      </c>
      <c r="P250">
        <v>6</v>
      </c>
      <c r="Q250">
        <v>3</v>
      </c>
      <c r="R250">
        <v>0</v>
      </c>
      <c r="S250">
        <v>2</v>
      </c>
      <c r="T250">
        <v>2</v>
      </c>
      <c r="U250">
        <v>2</v>
      </c>
      <c r="V250">
        <v>0</v>
      </c>
      <c r="X250" t="s">
        <v>74</v>
      </c>
    </row>
    <row r="251" spans="1:24" x14ac:dyDescent="0.3">
      <c r="A251" t="s">
        <v>22</v>
      </c>
      <c r="B251" t="s">
        <v>196</v>
      </c>
      <c r="C251" t="s">
        <v>349</v>
      </c>
      <c r="D251">
        <v>66</v>
      </c>
      <c r="E251" t="s">
        <v>375</v>
      </c>
      <c r="F251" t="s">
        <v>852</v>
      </c>
      <c r="L251">
        <v>548</v>
      </c>
      <c r="O251">
        <v>548</v>
      </c>
      <c r="P251">
        <v>548</v>
      </c>
    </row>
    <row r="252" spans="1:24" x14ac:dyDescent="0.3">
      <c r="A252" t="s">
        <v>22</v>
      </c>
      <c r="B252" t="s">
        <v>381</v>
      </c>
      <c r="C252" t="s">
        <v>382</v>
      </c>
      <c r="D252">
        <v>16</v>
      </c>
      <c r="E252" t="s">
        <v>383</v>
      </c>
      <c r="F252" t="s">
        <v>386</v>
      </c>
      <c r="I252" t="s">
        <v>387</v>
      </c>
      <c r="J252" t="s">
        <v>644</v>
      </c>
      <c r="L252">
        <v>113</v>
      </c>
      <c r="M252" t="s">
        <v>25</v>
      </c>
      <c r="N252">
        <v>0</v>
      </c>
      <c r="O252">
        <v>48</v>
      </c>
      <c r="P252">
        <v>48</v>
      </c>
      <c r="Q252">
        <v>3</v>
      </c>
      <c r="R252">
        <v>0</v>
      </c>
      <c r="S252">
        <v>16</v>
      </c>
      <c r="T252">
        <v>16</v>
      </c>
      <c r="U252">
        <v>16</v>
      </c>
      <c r="V252">
        <v>0</v>
      </c>
      <c r="X252" t="s">
        <v>152</v>
      </c>
    </row>
    <row r="253" spans="1:24" x14ac:dyDescent="0.3">
      <c r="A253" t="s">
        <v>22</v>
      </c>
      <c r="B253" t="s">
        <v>381</v>
      </c>
      <c r="C253" t="s">
        <v>388</v>
      </c>
      <c r="D253">
        <v>1</v>
      </c>
      <c r="E253" t="s">
        <v>389</v>
      </c>
      <c r="F253" t="s">
        <v>31</v>
      </c>
      <c r="G253">
        <v>3</v>
      </c>
      <c r="I253" t="s">
        <v>390</v>
      </c>
      <c r="J253" t="s">
        <v>275</v>
      </c>
      <c r="L253">
        <v>9</v>
      </c>
      <c r="M253" t="s">
        <v>25</v>
      </c>
      <c r="N253">
        <v>0</v>
      </c>
      <c r="O253">
        <v>9</v>
      </c>
      <c r="P253">
        <v>9</v>
      </c>
      <c r="Q253">
        <v>3</v>
      </c>
      <c r="R253">
        <v>0</v>
      </c>
      <c r="S253">
        <v>3</v>
      </c>
      <c r="T253">
        <v>3</v>
      </c>
      <c r="U253">
        <v>3</v>
      </c>
      <c r="V253">
        <v>0</v>
      </c>
      <c r="X253" t="s">
        <v>27</v>
      </c>
    </row>
    <row r="254" spans="1:24" x14ac:dyDescent="0.3">
      <c r="A254" t="s">
        <v>22</v>
      </c>
      <c r="B254" t="s">
        <v>381</v>
      </c>
      <c r="C254" t="s">
        <v>388</v>
      </c>
      <c r="D254">
        <v>2</v>
      </c>
      <c r="E254" t="s">
        <v>389</v>
      </c>
      <c r="F254" t="s">
        <v>287</v>
      </c>
      <c r="I254" t="s">
        <v>390</v>
      </c>
      <c r="J254" t="s">
        <v>275</v>
      </c>
      <c r="L254">
        <v>9</v>
      </c>
      <c r="M254" t="s">
        <v>25</v>
      </c>
      <c r="N254">
        <v>0</v>
      </c>
      <c r="O254">
        <v>9</v>
      </c>
      <c r="P254">
        <v>9</v>
      </c>
      <c r="Q254">
        <v>3</v>
      </c>
      <c r="R254">
        <v>0</v>
      </c>
      <c r="S254">
        <v>3</v>
      </c>
      <c r="T254">
        <v>3</v>
      </c>
      <c r="U254">
        <v>3</v>
      </c>
      <c r="V254">
        <v>0</v>
      </c>
      <c r="X254" t="s">
        <v>74</v>
      </c>
    </row>
    <row r="255" spans="1:24" x14ac:dyDescent="0.3">
      <c r="A255" t="s">
        <v>22</v>
      </c>
      <c r="B255" t="s">
        <v>381</v>
      </c>
      <c r="C255" t="s">
        <v>388</v>
      </c>
      <c r="D255">
        <v>3</v>
      </c>
      <c r="E255" t="s">
        <v>389</v>
      </c>
      <c r="F255" t="s">
        <v>292</v>
      </c>
      <c r="I255" t="s">
        <v>391</v>
      </c>
      <c r="J255" t="s">
        <v>275</v>
      </c>
      <c r="L255">
        <v>9</v>
      </c>
      <c r="M255" t="s">
        <v>62</v>
      </c>
      <c r="N255">
        <v>3</v>
      </c>
      <c r="O255">
        <v>6</v>
      </c>
      <c r="P255">
        <v>9</v>
      </c>
      <c r="Q255">
        <v>3</v>
      </c>
      <c r="R255">
        <v>0</v>
      </c>
      <c r="S255">
        <v>3</v>
      </c>
      <c r="T255">
        <v>3</v>
      </c>
      <c r="U255">
        <v>3</v>
      </c>
      <c r="V255">
        <v>0</v>
      </c>
      <c r="X255" t="s">
        <v>178</v>
      </c>
    </row>
    <row r="256" spans="1:24" x14ac:dyDescent="0.3">
      <c r="A256" t="s">
        <v>22</v>
      </c>
      <c r="B256" t="s">
        <v>381</v>
      </c>
      <c r="C256" t="s">
        <v>388</v>
      </c>
      <c r="D256">
        <v>4</v>
      </c>
      <c r="E256" t="s">
        <v>392</v>
      </c>
      <c r="F256" t="s">
        <v>31</v>
      </c>
      <c r="G256">
        <v>1</v>
      </c>
      <c r="I256" t="s">
        <v>371</v>
      </c>
      <c r="J256" t="s">
        <v>227</v>
      </c>
      <c r="L256">
        <v>3</v>
      </c>
      <c r="M256" t="s">
        <v>25</v>
      </c>
      <c r="N256">
        <v>0</v>
      </c>
      <c r="O256">
        <v>3</v>
      </c>
      <c r="P256">
        <v>3</v>
      </c>
      <c r="Q256">
        <v>3</v>
      </c>
      <c r="R256">
        <v>0</v>
      </c>
      <c r="S256">
        <v>1</v>
      </c>
      <c r="T256">
        <v>1</v>
      </c>
      <c r="U256">
        <v>1</v>
      </c>
      <c r="V256">
        <v>0</v>
      </c>
      <c r="X256" t="s">
        <v>27</v>
      </c>
    </row>
    <row r="257" spans="1:24" x14ac:dyDescent="0.3">
      <c r="A257" t="s">
        <v>22</v>
      </c>
      <c r="B257" t="s">
        <v>381</v>
      </c>
      <c r="C257" t="s">
        <v>388</v>
      </c>
      <c r="D257">
        <v>5</v>
      </c>
      <c r="E257" t="s">
        <v>392</v>
      </c>
      <c r="F257" t="s">
        <v>287</v>
      </c>
      <c r="I257" t="s">
        <v>371</v>
      </c>
      <c r="J257" t="s">
        <v>227</v>
      </c>
      <c r="L257">
        <v>3</v>
      </c>
      <c r="M257" t="s">
        <v>25</v>
      </c>
      <c r="N257">
        <v>0</v>
      </c>
      <c r="O257">
        <v>3</v>
      </c>
      <c r="P257">
        <v>3</v>
      </c>
      <c r="Q257">
        <v>3</v>
      </c>
      <c r="R257">
        <v>0</v>
      </c>
      <c r="S257">
        <v>1</v>
      </c>
      <c r="T257">
        <v>1</v>
      </c>
      <c r="U257">
        <v>1</v>
      </c>
      <c r="V257">
        <v>0</v>
      </c>
      <c r="X257" t="s">
        <v>74</v>
      </c>
    </row>
    <row r="258" spans="1:24" x14ac:dyDescent="0.3">
      <c r="A258" t="s">
        <v>22</v>
      </c>
      <c r="B258" t="s">
        <v>381</v>
      </c>
      <c r="C258" t="s">
        <v>388</v>
      </c>
      <c r="D258">
        <v>6</v>
      </c>
      <c r="E258" t="s">
        <v>393</v>
      </c>
      <c r="F258" t="s">
        <v>31</v>
      </c>
      <c r="G258">
        <v>3</v>
      </c>
      <c r="I258" t="s">
        <v>390</v>
      </c>
      <c r="J258" t="s">
        <v>275</v>
      </c>
      <c r="L258">
        <v>9</v>
      </c>
      <c r="M258" t="s">
        <v>25</v>
      </c>
      <c r="N258">
        <v>0</v>
      </c>
      <c r="O258">
        <v>9</v>
      </c>
      <c r="P258">
        <v>9</v>
      </c>
      <c r="Q258">
        <v>3</v>
      </c>
      <c r="R258">
        <v>0</v>
      </c>
      <c r="S258">
        <v>3</v>
      </c>
      <c r="T258">
        <v>3</v>
      </c>
      <c r="U258">
        <v>3</v>
      </c>
      <c r="V258">
        <v>0</v>
      </c>
      <c r="X258" t="s">
        <v>27</v>
      </c>
    </row>
    <row r="259" spans="1:24" x14ac:dyDescent="0.3">
      <c r="A259" t="s">
        <v>22</v>
      </c>
      <c r="B259" t="s">
        <v>381</v>
      </c>
      <c r="C259" t="s">
        <v>388</v>
      </c>
      <c r="D259">
        <v>7</v>
      </c>
      <c r="E259" t="s">
        <v>393</v>
      </c>
      <c r="F259" t="s">
        <v>287</v>
      </c>
      <c r="I259" t="s">
        <v>390</v>
      </c>
      <c r="J259" t="s">
        <v>275</v>
      </c>
      <c r="L259">
        <v>9</v>
      </c>
      <c r="M259" t="s">
        <v>25</v>
      </c>
      <c r="N259">
        <v>0</v>
      </c>
      <c r="O259">
        <v>9</v>
      </c>
      <c r="P259">
        <v>9</v>
      </c>
      <c r="Q259">
        <v>3</v>
      </c>
      <c r="R259">
        <v>0</v>
      </c>
      <c r="S259">
        <v>3</v>
      </c>
      <c r="T259">
        <v>3</v>
      </c>
      <c r="U259">
        <v>3</v>
      </c>
      <c r="V259">
        <v>0</v>
      </c>
      <c r="X259" t="s">
        <v>74</v>
      </c>
    </row>
    <row r="260" spans="1:24" x14ac:dyDescent="0.3">
      <c r="A260" t="s">
        <v>22</v>
      </c>
      <c r="B260" t="s">
        <v>381</v>
      </c>
      <c r="C260" t="s">
        <v>388</v>
      </c>
      <c r="D260">
        <v>8</v>
      </c>
      <c r="E260" t="s">
        <v>393</v>
      </c>
      <c r="F260" t="s">
        <v>292</v>
      </c>
      <c r="I260" t="s">
        <v>379</v>
      </c>
      <c r="J260" t="s">
        <v>290</v>
      </c>
      <c r="L260">
        <v>18</v>
      </c>
      <c r="M260" t="s">
        <v>62</v>
      </c>
      <c r="N260">
        <v>6</v>
      </c>
      <c r="O260">
        <v>12</v>
      </c>
      <c r="P260">
        <v>18</v>
      </c>
      <c r="Q260">
        <v>3</v>
      </c>
      <c r="R260">
        <v>0</v>
      </c>
      <c r="S260">
        <v>6</v>
      </c>
      <c r="T260">
        <v>6</v>
      </c>
      <c r="U260">
        <v>6</v>
      </c>
      <c r="V260">
        <v>0</v>
      </c>
      <c r="X260" t="s">
        <v>178</v>
      </c>
    </row>
    <row r="261" spans="1:24" x14ac:dyDescent="0.3">
      <c r="A261" t="s">
        <v>22</v>
      </c>
      <c r="B261" t="s">
        <v>381</v>
      </c>
      <c r="C261" t="s">
        <v>388</v>
      </c>
      <c r="D261">
        <v>9</v>
      </c>
      <c r="E261" t="s">
        <v>394</v>
      </c>
      <c r="F261" t="s">
        <v>31</v>
      </c>
      <c r="G261">
        <v>3</v>
      </c>
      <c r="I261" t="s">
        <v>326</v>
      </c>
      <c r="J261" t="s">
        <v>356</v>
      </c>
      <c r="L261">
        <v>7</v>
      </c>
      <c r="M261" t="s">
        <v>25</v>
      </c>
      <c r="N261">
        <v>0</v>
      </c>
      <c r="O261">
        <v>7</v>
      </c>
      <c r="P261">
        <v>7</v>
      </c>
      <c r="Q261">
        <v>3</v>
      </c>
      <c r="R261">
        <v>0</v>
      </c>
      <c r="S261">
        <v>2.33</v>
      </c>
      <c r="T261">
        <v>2.33</v>
      </c>
      <c r="U261">
        <v>2.34</v>
      </c>
      <c r="V261">
        <v>0</v>
      </c>
      <c r="W261" t="s">
        <v>357</v>
      </c>
      <c r="X261" t="s">
        <v>27</v>
      </c>
    </row>
    <row r="262" spans="1:24" x14ac:dyDescent="0.3">
      <c r="A262" t="s">
        <v>22</v>
      </c>
      <c r="B262" t="s">
        <v>381</v>
      </c>
      <c r="C262" t="s">
        <v>388</v>
      </c>
      <c r="D262">
        <v>10</v>
      </c>
      <c r="E262" t="s">
        <v>394</v>
      </c>
      <c r="F262" t="s">
        <v>287</v>
      </c>
      <c r="I262" t="s">
        <v>326</v>
      </c>
      <c r="J262" t="s">
        <v>214</v>
      </c>
      <c r="L262">
        <v>6</v>
      </c>
      <c r="M262" t="s">
        <v>25</v>
      </c>
      <c r="N262">
        <v>0</v>
      </c>
      <c r="O262">
        <v>6</v>
      </c>
      <c r="P262">
        <v>6</v>
      </c>
      <c r="Q262">
        <v>3</v>
      </c>
      <c r="R262">
        <v>0</v>
      </c>
      <c r="S262">
        <v>2</v>
      </c>
      <c r="T262">
        <v>2</v>
      </c>
      <c r="U262">
        <v>2</v>
      </c>
      <c r="V262">
        <v>0</v>
      </c>
      <c r="X262" t="s">
        <v>74</v>
      </c>
    </row>
    <row r="263" spans="1:24" x14ac:dyDescent="0.3">
      <c r="A263" t="s">
        <v>22</v>
      </c>
      <c r="B263" t="s">
        <v>381</v>
      </c>
      <c r="C263" t="s">
        <v>388</v>
      </c>
      <c r="D263">
        <v>11</v>
      </c>
      <c r="E263" t="s">
        <v>394</v>
      </c>
      <c r="F263" t="s">
        <v>292</v>
      </c>
      <c r="I263" t="s">
        <v>380</v>
      </c>
      <c r="J263" t="s">
        <v>298</v>
      </c>
      <c r="L263">
        <v>12</v>
      </c>
      <c r="M263" t="s">
        <v>62</v>
      </c>
      <c r="N263">
        <v>6</v>
      </c>
      <c r="O263">
        <v>6</v>
      </c>
      <c r="P263">
        <v>12</v>
      </c>
      <c r="Q263">
        <v>3</v>
      </c>
      <c r="R263">
        <v>0</v>
      </c>
      <c r="S263">
        <v>4</v>
      </c>
      <c r="T263">
        <v>4</v>
      </c>
      <c r="U263">
        <v>4</v>
      </c>
      <c r="V263">
        <v>0</v>
      </c>
      <c r="X263" t="s">
        <v>178</v>
      </c>
    </row>
    <row r="264" spans="1:24" x14ac:dyDescent="0.3">
      <c r="A264" t="s">
        <v>22</v>
      </c>
      <c r="B264" t="s">
        <v>381</v>
      </c>
      <c r="C264" t="s">
        <v>388</v>
      </c>
      <c r="D264">
        <v>12</v>
      </c>
      <c r="E264" t="s">
        <v>395</v>
      </c>
      <c r="F264" t="s">
        <v>31</v>
      </c>
      <c r="G264">
        <v>3</v>
      </c>
      <c r="I264" t="s">
        <v>326</v>
      </c>
      <c r="J264" t="s">
        <v>214</v>
      </c>
      <c r="L264">
        <v>6</v>
      </c>
      <c r="M264" t="s">
        <v>25</v>
      </c>
      <c r="N264">
        <v>0</v>
      </c>
      <c r="O264">
        <v>6</v>
      </c>
      <c r="P264">
        <v>6</v>
      </c>
      <c r="Q264">
        <v>3</v>
      </c>
      <c r="R264">
        <v>0</v>
      </c>
      <c r="S264">
        <v>2</v>
      </c>
      <c r="T264">
        <v>2</v>
      </c>
      <c r="U264">
        <v>2</v>
      </c>
      <c r="V264">
        <v>0</v>
      </c>
      <c r="X264" t="s">
        <v>27</v>
      </c>
    </row>
    <row r="265" spans="1:24" x14ac:dyDescent="0.3">
      <c r="A265" t="s">
        <v>22</v>
      </c>
      <c r="B265" t="s">
        <v>381</v>
      </c>
      <c r="C265" t="s">
        <v>388</v>
      </c>
      <c r="D265">
        <v>13</v>
      </c>
      <c r="E265" t="s">
        <v>396</v>
      </c>
      <c r="F265" t="s">
        <v>31</v>
      </c>
      <c r="G265">
        <v>1</v>
      </c>
      <c r="I265" t="s">
        <v>371</v>
      </c>
      <c r="J265" t="s">
        <v>227</v>
      </c>
      <c r="L265">
        <v>3</v>
      </c>
      <c r="M265" t="s">
        <v>25</v>
      </c>
      <c r="N265">
        <v>0</v>
      </c>
      <c r="O265">
        <v>3</v>
      </c>
      <c r="P265">
        <v>3</v>
      </c>
      <c r="Q265">
        <v>3</v>
      </c>
      <c r="R265">
        <v>0</v>
      </c>
      <c r="S265">
        <v>1</v>
      </c>
      <c r="T265">
        <v>1</v>
      </c>
      <c r="U265">
        <v>1</v>
      </c>
      <c r="V265">
        <v>0</v>
      </c>
      <c r="X265" t="s">
        <v>27</v>
      </c>
    </row>
    <row r="266" spans="1:24" x14ac:dyDescent="0.3">
      <c r="A266" t="s">
        <v>22</v>
      </c>
      <c r="B266" t="s">
        <v>381</v>
      </c>
      <c r="C266" t="s">
        <v>388</v>
      </c>
      <c r="D266">
        <v>14</v>
      </c>
      <c r="E266" t="s">
        <v>397</v>
      </c>
      <c r="F266" t="s">
        <v>55</v>
      </c>
      <c r="I266" t="s">
        <v>294</v>
      </c>
      <c r="J266" t="s">
        <v>227</v>
      </c>
      <c r="L266">
        <v>3</v>
      </c>
      <c r="M266" t="s">
        <v>25</v>
      </c>
      <c r="N266">
        <v>0</v>
      </c>
      <c r="O266">
        <v>3</v>
      </c>
      <c r="P266">
        <v>3</v>
      </c>
      <c r="Q266">
        <v>3</v>
      </c>
      <c r="R266">
        <v>0</v>
      </c>
      <c r="S266">
        <v>1</v>
      </c>
      <c r="T266">
        <v>1</v>
      </c>
      <c r="U266">
        <v>1</v>
      </c>
      <c r="V266">
        <v>0</v>
      </c>
      <c r="X266" t="s">
        <v>27</v>
      </c>
    </row>
    <row r="267" spans="1:24" x14ac:dyDescent="0.3">
      <c r="A267" t="s">
        <v>22</v>
      </c>
      <c r="B267" t="s">
        <v>381</v>
      </c>
      <c r="C267" t="s">
        <v>388</v>
      </c>
      <c r="D267">
        <v>15</v>
      </c>
      <c r="E267" t="s">
        <v>331</v>
      </c>
      <c r="F267" t="s">
        <v>398</v>
      </c>
      <c r="I267" t="s">
        <v>399</v>
      </c>
      <c r="J267" t="s">
        <v>214</v>
      </c>
      <c r="L267">
        <v>6</v>
      </c>
      <c r="M267" t="s">
        <v>25</v>
      </c>
      <c r="N267">
        <v>0</v>
      </c>
      <c r="O267">
        <v>6</v>
      </c>
      <c r="P267">
        <v>6</v>
      </c>
      <c r="Q267">
        <v>3</v>
      </c>
      <c r="R267">
        <v>0</v>
      </c>
      <c r="S267">
        <v>2</v>
      </c>
      <c r="T267">
        <v>2</v>
      </c>
      <c r="U267">
        <v>2</v>
      </c>
      <c r="V267">
        <v>0</v>
      </c>
      <c r="X267" t="s">
        <v>27</v>
      </c>
    </row>
    <row r="268" spans="1:24" x14ac:dyDescent="0.3">
      <c r="A268" t="s">
        <v>22</v>
      </c>
      <c r="B268" t="s">
        <v>381</v>
      </c>
      <c r="C268" t="s">
        <v>388</v>
      </c>
      <c r="D268">
        <v>16</v>
      </c>
      <c r="E268" t="s">
        <v>400</v>
      </c>
      <c r="F268" t="s">
        <v>401</v>
      </c>
      <c r="I268" t="s">
        <v>402</v>
      </c>
      <c r="J268" t="s">
        <v>352</v>
      </c>
      <c r="L268">
        <v>14</v>
      </c>
      <c r="M268" t="s">
        <v>25</v>
      </c>
      <c r="N268">
        <v>0</v>
      </c>
      <c r="O268">
        <v>14</v>
      </c>
      <c r="P268">
        <v>14</v>
      </c>
      <c r="Q268">
        <v>3</v>
      </c>
      <c r="R268">
        <v>0</v>
      </c>
      <c r="S268">
        <v>4.67</v>
      </c>
      <c r="T268">
        <v>4.67</v>
      </c>
      <c r="U268">
        <v>4.66</v>
      </c>
      <c r="V268">
        <v>0</v>
      </c>
      <c r="W268" t="s">
        <v>403</v>
      </c>
      <c r="X268" t="s">
        <v>178</v>
      </c>
    </row>
    <row r="269" spans="1:24" x14ac:dyDescent="0.3">
      <c r="A269" t="s">
        <v>22</v>
      </c>
      <c r="B269" t="s">
        <v>381</v>
      </c>
      <c r="C269" t="s">
        <v>388</v>
      </c>
      <c r="D269">
        <v>17</v>
      </c>
      <c r="E269" t="s">
        <v>404</v>
      </c>
      <c r="F269" t="s">
        <v>405</v>
      </c>
      <c r="I269" t="s">
        <v>406</v>
      </c>
      <c r="J269" t="s">
        <v>227</v>
      </c>
      <c r="L269">
        <v>3</v>
      </c>
      <c r="M269" t="s">
        <v>25</v>
      </c>
      <c r="N269">
        <v>0</v>
      </c>
      <c r="O269">
        <v>3</v>
      </c>
      <c r="P269">
        <v>3</v>
      </c>
      <c r="Q269">
        <v>3</v>
      </c>
      <c r="R269">
        <v>0</v>
      </c>
      <c r="S269">
        <v>1</v>
      </c>
      <c r="T269">
        <v>1</v>
      </c>
      <c r="U269">
        <v>1</v>
      </c>
      <c r="V269">
        <v>0</v>
      </c>
      <c r="X269" t="s">
        <v>27</v>
      </c>
    </row>
    <row r="270" spans="1:24" x14ac:dyDescent="0.3">
      <c r="A270" t="s">
        <v>22</v>
      </c>
      <c r="B270" t="s">
        <v>381</v>
      </c>
      <c r="C270" t="s">
        <v>407</v>
      </c>
      <c r="D270">
        <v>1</v>
      </c>
      <c r="E270" t="s">
        <v>408</v>
      </c>
      <c r="F270" t="s">
        <v>31</v>
      </c>
      <c r="G270">
        <v>3</v>
      </c>
      <c r="I270" t="s">
        <v>390</v>
      </c>
      <c r="J270" t="s">
        <v>275</v>
      </c>
      <c r="L270">
        <v>9</v>
      </c>
      <c r="M270" t="s">
        <v>25</v>
      </c>
      <c r="N270">
        <v>0</v>
      </c>
      <c r="O270">
        <v>9</v>
      </c>
      <c r="P270">
        <v>9</v>
      </c>
      <c r="Q270">
        <v>3</v>
      </c>
      <c r="R270">
        <v>0</v>
      </c>
      <c r="S270">
        <v>3</v>
      </c>
      <c r="T270">
        <v>3</v>
      </c>
      <c r="U270">
        <v>3</v>
      </c>
      <c r="V270">
        <v>0</v>
      </c>
      <c r="X270" t="s">
        <v>27</v>
      </c>
    </row>
    <row r="271" spans="1:24" x14ac:dyDescent="0.3">
      <c r="A271" t="s">
        <v>22</v>
      </c>
      <c r="B271" t="s">
        <v>381</v>
      </c>
      <c r="C271" t="s">
        <v>407</v>
      </c>
      <c r="D271">
        <v>2</v>
      </c>
      <c r="E271" t="s">
        <v>408</v>
      </c>
      <c r="F271" t="s">
        <v>287</v>
      </c>
      <c r="I271" t="s">
        <v>390</v>
      </c>
      <c r="J271" t="s">
        <v>275</v>
      </c>
      <c r="L271">
        <v>9</v>
      </c>
      <c r="M271" t="s">
        <v>25</v>
      </c>
      <c r="N271">
        <v>0</v>
      </c>
      <c r="O271">
        <v>9</v>
      </c>
      <c r="P271">
        <v>9</v>
      </c>
      <c r="Q271">
        <v>3</v>
      </c>
      <c r="R271">
        <v>0</v>
      </c>
      <c r="S271">
        <v>3</v>
      </c>
      <c r="T271">
        <v>3</v>
      </c>
      <c r="U271">
        <v>3</v>
      </c>
      <c r="V271">
        <v>0</v>
      </c>
      <c r="X271" t="s">
        <v>74</v>
      </c>
    </row>
    <row r="272" spans="1:24" x14ac:dyDescent="0.3">
      <c r="A272" t="s">
        <v>22</v>
      </c>
      <c r="B272" t="s">
        <v>381</v>
      </c>
      <c r="C272" t="s">
        <v>407</v>
      </c>
      <c r="D272">
        <v>3</v>
      </c>
      <c r="E272" t="s">
        <v>408</v>
      </c>
      <c r="F272" t="s">
        <v>292</v>
      </c>
      <c r="I272" t="s">
        <v>391</v>
      </c>
      <c r="J272" t="s">
        <v>275</v>
      </c>
      <c r="L272">
        <v>9</v>
      </c>
      <c r="M272" t="s">
        <v>25</v>
      </c>
      <c r="N272">
        <v>0</v>
      </c>
      <c r="O272">
        <v>9</v>
      </c>
      <c r="P272">
        <v>9</v>
      </c>
      <c r="Q272">
        <v>3</v>
      </c>
      <c r="R272">
        <v>0</v>
      </c>
      <c r="S272">
        <v>3</v>
      </c>
      <c r="T272">
        <v>3</v>
      </c>
      <c r="U272">
        <v>3</v>
      </c>
      <c r="V272">
        <v>0</v>
      </c>
      <c r="X272" t="s">
        <v>178</v>
      </c>
    </row>
    <row r="273" spans="1:24" x14ac:dyDescent="0.3">
      <c r="A273" t="s">
        <v>22</v>
      </c>
      <c r="B273" t="s">
        <v>381</v>
      </c>
      <c r="C273" t="s">
        <v>407</v>
      </c>
      <c r="D273">
        <v>4</v>
      </c>
      <c r="E273" t="s">
        <v>409</v>
      </c>
      <c r="F273" t="s">
        <v>31</v>
      </c>
      <c r="G273">
        <v>2</v>
      </c>
      <c r="I273" t="s">
        <v>410</v>
      </c>
      <c r="J273" t="s">
        <v>298</v>
      </c>
      <c r="L273">
        <v>12</v>
      </c>
      <c r="M273" t="s">
        <v>25</v>
      </c>
      <c r="N273">
        <v>0</v>
      </c>
      <c r="O273">
        <v>12</v>
      </c>
      <c r="P273">
        <v>12</v>
      </c>
      <c r="Q273">
        <v>3</v>
      </c>
      <c r="R273">
        <v>0</v>
      </c>
      <c r="S273">
        <v>4</v>
      </c>
      <c r="T273">
        <v>4</v>
      </c>
      <c r="U273">
        <v>4</v>
      </c>
      <c r="V273">
        <v>0</v>
      </c>
      <c r="X273" t="s">
        <v>27</v>
      </c>
    </row>
    <row r="274" spans="1:24" x14ac:dyDescent="0.3">
      <c r="A274" t="s">
        <v>22</v>
      </c>
      <c r="B274" t="s">
        <v>381</v>
      </c>
      <c r="C274" t="s">
        <v>407</v>
      </c>
      <c r="D274">
        <v>5</v>
      </c>
      <c r="E274" t="s">
        <v>409</v>
      </c>
      <c r="F274" t="s">
        <v>287</v>
      </c>
      <c r="I274" t="s">
        <v>326</v>
      </c>
      <c r="J274" t="s">
        <v>214</v>
      </c>
      <c r="L274">
        <v>6</v>
      </c>
      <c r="M274" t="s">
        <v>25</v>
      </c>
      <c r="N274">
        <v>0</v>
      </c>
      <c r="O274">
        <v>6</v>
      </c>
      <c r="P274">
        <v>6</v>
      </c>
      <c r="Q274">
        <v>3</v>
      </c>
      <c r="R274">
        <v>0</v>
      </c>
      <c r="S274">
        <v>2</v>
      </c>
      <c r="T274">
        <v>2</v>
      </c>
      <c r="U274">
        <v>2</v>
      </c>
      <c r="V274">
        <v>0</v>
      </c>
      <c r="X274" t="s">
        <v>74</v>
      </c>
    </row>
    <row r="275" spans="1:24" x14ac:dyDescent="0.3">
      <c r="A275" t="s">
        <v>22</v>
      </c>
      <c r="B275" t="s">
        <v>381</v>
      </c>
      <c r="C275" t="s">
        <v>407</v>
      </c>
      <c r="D275">
        <v>6</v>
      </c>
      <c r="E275" t="s">
        <v>409</v>
      </c>
      <c r="F275" t="s">
        <v>292</v>
      </c>
      <c r="I275" t="s">
        <v>355</v>
      </c>
      <c r="J275" t="s">
        <v>214</v>
      </c>
      <c r="L275">
        <v>6</v>
      </c>
      <c r="M275" t="s">
        <v>25</v>
      </c>
      <c r="N275">
        <v>0</v>
      </c>
      <c r="O275">
        <v>6</v>
      </c>
      <c r="P275">
        <v>6</v>
      </c>
      <c r="Q275">
        <v>3</v>
      </c>
      <c r="R275">
        <v>0</v>
      </c>
      <c r="S275">
        <v>2</v>
      </c>
      <c r="T275">
        <v>2</v>
      </c>
      <c r="U275">
        <v>2</v>
      </c>
      <c r="V275">
        <v>0</v>
      </c>
      <c r="X275" t="s">
        <v>178</v>
      </c>
    </row>
    <row r="276" spans="1:24" x14ac:dyDescent="0.3">
      <c r="A276" t="s">
        <v>22</v>
      </c>
      <c r="B276" t="s">
        <v>381</v>
      </c>
      <c r="C276" t="s">
        <v>407</v>
      </c>
      <c r="D276">
        <v>7</v>
      </c>
      <c r="E276" t="s">
        <v>300</v>
      </c>
      <c r="F276" t="s">
        <v>31</v>
      </c>
      <c r="G276">
        <v>1</v>
      </c>
      <c r="I276" t="s">
        <v>411</v>
      </c>
      <c r="J276" t="s">
        <v>348</v>
      </c>
      <c r="L276">
        <v>4</v>
      </c>
      <c r="M276" t="s">
        <v>25</v>
      </c>
      <c r="N276">
        <v>0</v>
      </c>
      <c r="O276">
        <v>4</v>
      </c>
      <c r="P276">
        <v>4</v>
      </c>
      <c r="Q276">
        <v>2</v>
      </c>
      <c r="R276">
        <v>0</v>
      </c>
      <c r="S276">
        <v>2</v>
      </c>
      <c r="T276">
        <v>2</v>
      </c>
      <c r="U276">
        <v>0</v>
      </c>
      <c r="V276">
        <v>0</v>
      </c>
      <c r="X276" t="s">
        <v>27</v>
      </c>
    </row>
    <row r="277" spans="1:24" x14ac:dyDescent="0.3">
      <c r="A277" t="s">
        <v>22</v>
      </c>
      <c r="B277" t="s">
        <v>381</v>
      </c>
      <c r="C277" t="s">
        <v>407</v>
      </c>
      <c r="D277">
        <v>8</v>
      </c>
      <c r="E277" t="s">
        <v>300</v>
      </c>
      <c r="F277" t="s">
        <v>287</v>
      </c>
      <c r="I277" t="s">
        <v>412</v>
      </c>
      <c r="J277" t="s">
        <v>305</v>
      </c>
      <c r="L277">
        <v>2</v>
      </c>
      <c r="M277" t="s">
        <v>25</v>
      </c>
      <c r="N277">
        <v>0</v>
      </c>
      <c r="O277">
        <v>2</v>
      </c>
      <c r="P277">
        <v>2</v>
      </c>
      <c r="Q277">
        <v>2</v>
      </c>
      <c r="R277">
        <v>0</v>
      </c>
      <c r="S277">
        <v>1</v>
      </c>
      <c r="T277">
        <v>1</v>
      </c>
      <c r="U277">
        <v>0</v>
      </c>
      <c r="V277">
        <v>0</v>
      </c>
      <c r="X277" t="s">
        <v>74</v>
      </c>
    </row>
    <row r="278" spans="1:24" x14ac:dyDescent="0.3">
      <c r="A278" t="s">
        <v>22</v>
      </c>
      <c r="B278" t="s">
        <v>381</v>
      </c>
      <c r="C278" t="s">
        <v>407</v>
      </c>
      <c r="D278">
        <v>9</v>
      </c>
      <c r="E278" t="s">
        <v>300</v>
      </c>
      <c r="F278" t="s">
        <v>292</v>
      </c>
      <c r="I278" t="s">
        <v>413</v>
      </c>
      <c r="J278" t="s">
        <v>305</v>
      </c>
      <c r="L278">
        <v>2</v>
      </c>
      <c r="M278" t="s">
        <v>25</v>
      </c>
      <c r="N278">
        <v>0</v>
      </c>
      <c r="O278">
        <v>2</v>
      </c>
      <c r="P278">
        <v>2</v>
      </c>
      <c r="Q278">
        <v>2</v>
      </c>
      <c r="R278">
        <v>0</v>
      </c>
      <c r="S278">
        <v>1</v>
      </c>
      <c r="T278">
        <v>1</v>
      </c>
      <c r="U278">
        <v>0</v>
      </c>
      <c r="V278">
        <v>0</v>
      </c>
      <c r="X278" t="s">
        <v>178</v>
      </c>
    </row>
    <row r="279" spans="1:24" x14ac:dyDescent="0.3">
      <c r="A279" t="s">
        <v>22</v>
      </c>
      <c r="B279" t="s">
        <v>381</v>
      </c>
      <c r="C279" t="s">
        <v>407</v>
      </c>
      <c r="D279">
        <v>10</v>
      </c>
      <c r="E279" t="s">
        <v>414</v>
      </c>
      <c r="F279" t="s">
        <v>31</v>
      </c>
      <c r="G279">
        <v>1</v>
      </c>
      <c r="I279" t="s">
        <v>371</v>
      </c>
      <c r="J279" t="s">
        <v>227</v>
      </c>
      <c r="L279">
        <v>3</v>
      </c>
      <c r="M279" t="s">
        <v>25</v>
      </c>
      <c r="N279">
        <v>0</v>
      </c>
      <c r="O279">
        <v>3</v>
      </c>
      <c r="P279">
        <v>3</v>
      </c>
      <c r="Q279">
        <v>3</v>
      </c>
      <c r="R279">
        <v>0</v>
      </c>
      <c r="S279">
        <v>1</v>
      </c>
      <c r="T279">
        <v>1</v>
      </c>
      <c r="U279">
        <v>1</v>
      </c>
      <c r="V279">
        <v>0</v>
      </c>
      <c r="X279" t="s">
        <v>27</v>
      </c>
    </row>
    <row r="280" spans="1:24" x14ac:dyDescent="0.3">
      <c r="A280" t="s">
        <v>22</v>
      </c>
      <c r="B280" t="s">
        <v>381</v>
      </c>
      <c r="C280" t="s">
        <v>407</v>
      </c>
      <c r="D280">
        <v>11</v>
      </c>
      <c r="E280" t="s">
        <v>414</v>
      </c>
      <c r="F280" t="s">
        <v>287</v>
      </c>
      <c r="I280" t="s">
        <v>371</v>
      </c>
      <c r="J280" t="s">
        <v>227</v>
      </c>
      <c r="L280">
        <v>3</v>
      </c>
      <c r="M280" t="s">
        <v>25</v>
      </c>
      <c r="N280">
        <v>0</v>
      </c>
      <c r="O280">
        <v>3</v>
      </c>
      <c r="P280">
        <v>3</v>
      </c>
      <c r="Q280">
        <v>3</v>
      </c>
      <c r="R280">
        <v>0</v>
      </c>
      <c r="S280">
        <v>1</v>
      </c>
      <c r="T280">
        <v>1</v>
      </c>
      <c r="U280">
        <v>1</v>
      </c>
      <c r="V280">
        <v>0</v>
      </c>
      <c r="X280" t="s">
        <v>74</v>
      </c>
    </row>
    <row r="281" spans="1:24" x14ac:dyDescent="0.3">
      <c r="A281" t="s">
        <v>22</v>
      </c>
      <c r="B281" t="s">
        <v>381</v>
      </c>
      <c r="C281" t="s">
        <v>407</v>
      </c>
      <c r="D281">
        <v>12</v>
      </c>
      <c r="E281" t="s">
        <v>414</v>
      </c>
      <c r="F281" t="s">
        <v>292</v>
      </c>
      <c r="I281" t="s">
        <v>377</v>
      </c>
      <c r="J281" t="s">
        <v>227</v>
      </c>
      <c r="L281">
        <v>3</v>
      </c>
      <c r="M281" t="s">
        <v>25</v>
      </c>
      <c r="N281">
        <v>0</v>
      </c>
      <c r="O281">
        <v>3</v>
      </c>
      <c r="P281">
        <v>3</v>
      </c>
      <c r="Q281">
        <v>3</v>
      </c>
      <c r="R281">
        <v>0</v>
      </c>
      <c r="S281">
        <v>1</v>
      </c>
      <c r="T281">
        <v>1</v>
      </c>
      <c r="U281">
        <v>1</v>
      </c>
      <c r="V281">
        <v>0</v>
      </c>
      <c r="X281" t="s">
        <v>178</v>
      </c>
    </row>
    <row r="282" spans="1:24" x14ac:dyDescent="0.3">
      <c r="A282" t="s">
        <v>22</v>
      </c>
      <c r="B282" t="s">
        <v>381</v>
      </c>
      <c r="C282" t="s">
        <v>407</v>
      </c>
      <c r="D282">
        <v>13</v>
      </c>
      <c r="E282" t="s">
        <v>415</v>
      </c>
      <c r="F282" t="s">
        <v>416</v>
      </c>
      <c r="G282">
        <v>2</v>
      </c>
      <c r="I282" t="s">
        <v>417</v>
      </c>
      <c r="J282" t="s">
        <v>348</v>
      </c>
      <c r="L282">
        <v>4</v>
      </c>
      <c r="M282" t="s">
        <v>25</v>
      </c>
      <c r="N282">
        <v>0</v>
      </c>
      <c r="O282">
        <v>4</v>
      </c>
      <c r="P282">
        <v>4</v>
      </c>
      <c r="Q282">
        <v>2</v>
      </c>
      <c r="R282">
        <v>0</v>
      </c>
      <c r="S282">
        <v>2</v>
      </c>
      <c r="T282">
        <v>2</v>
      </c>
      <c r="U282">
        <v>0</v>
      </c>
      <c r="V282">
        <v>0</v>
      </c>
      <c r="X282" t="s">
        <v>27</v>
      </c>
    </row>
    <row r="283" spans="1:24" x14ac:dyDescent="0.3">
      <c r="A283" t="s">
        <v>22</v>
      </c>
      <c r="B283" t="s">
        <v>381</v>
      </c>
      <c r="C283" t="s">
        <v>407</v>
      </c>
      <c r="D283">
        <v>14</v>
      </c>
      <c r="E283" t="s">
        <v>308</v>
      </c>
      <c r="F283" t="s">
        <v>418</v>
      </c>
      <c r="G283">
        <v>1</v>
      </c>
      <c r="I283" t="s">
        <v>373</v>
      </c>
      <c r="J283" t="s">
        <v>275</v>
      </c>
      <c r="L283">
        <v>9</v>
      </c>
      <c r="M283" t="s">
        <v>25</v>
      </c>
      <c r="N283">
        <v>0</v>
      </c>
      <c r="O283">
        <v>9</v>
      </c>
      <c r="P283">
        <v>9</v>
      </c>
      <c r="Q283">
        <v>3</v>
      </c>
      <c r="R283">
        <v>0</v>
      </c>
      <c r="S283">
        <v>3</v>
      </c>
      <c r="T283">
        <v>3</v>
      </c>
      <c r="U283">
        <v>3</v>
      </c>
      <c r="V283">
        <v>0</v>
      </c>
      <c r="X283" t="s">
        <v>27</v>
      </c>
    </row>
    <row r="284" spans="1:24" x14ac:dyDescent="0.3">
      <c r="A284" t="s">
        <v>22</v>
      </c>
      <c r="B284" t="s">
        <v>381</v>
      </c>
      <c r="C284" t="s">
        <v>407</v>
      </c>
      <c r="D284">
        <v>15</v>
      </c>
      <c r="E284" t="s">
        <v>419</v>
      </c>
      <c r="F284" t="s">
        <v>420</v>
      </c>
      <c r="G284">
        <v>1</v>
      </c>
      <c r="I284" t="s">
        <v>421</v>
      </c>
      <c r="J284" t="s">
        <v>367</v>
      </c>
      <c r="L284">
        <v>6</v>
      </c>
      <c r="M284" t="s">
        <v>25</v>
      </c>
      <c r="N284">
        <v>0</v>
      </c>
      <c r="O284">
        <v>6</v>
      </c>
      <c r="P284">
        <v>6</v>
      </c>
      <c r="Q284">
        <v>2</v>
      </c>
      <c r="R284">
        <v>0</v>
      </c>
      <c r="S284">
        <v>3</v>
      </c>
      <c r="T284">
        <v>3</v>
      </c>
      <c r="U284">
        <v>0</v>
      </c>
      <c r="V284">
        <v>0</v>
      </c>
      <c r="X284" t="s">
        <v>178</v>
      </c>
    </row>
    <row r="285" spans="1:24" x14ac:dyDescent="0.3">
      <c r="A285" t="s">
        <v>22</v>
      </c>
      <c r="B285" t="s">
        <v>381</v>
      </c>
      <c r="C285" t="s">
        <v>407</v>
      </c>
      <c r="D285">
        <v>16</v>
      </c>
      <c r="E285" t="s">
        <v>422</v>
      </c>
      <c r="F285" t="s">
        <v>423</v>
      </c>
      <c r="G285">
        <v>1</v>
      </c>
      <c r="I285" t="s">
        <v>424</v>
      </c>
      <c r="J285" t="s">
        <v>227</v>
      </c>
      <c r="L285">
        <v>3</v>
      </c>
      <c r="M285" t="s">
        <v>25</v>
      </c>
      <c r="N285">
        <v>0</v>
      </c>
      <c r="O285">
        <v>3</v>
      </c>
      <c r="P285">
        <v>3</v>
      </c>
      <c r="Q285">
        <v>3</v>
      </c>
      <c r="R285">
        <v>0</v>
      </c>
      <c r="S285">
        <v>1</v>
      </c>
      <c r="T285">
        <v>1</v>
      </c>
      <c r="U285">
        <v>1</v>
      </c>
      <c r="V285">
        <v>0</v>
      </c>
      <c r="X285" t="s">
        <v>27</v>
      </c>
    </row>
    <row r="286" spans="1:24" x14ac:dyDescent="0.3">
      <c r="A286" t="s">
        <v>22</v>
      </c>
      <c r="B286" t="s">
        <v>381</v>
      </c>
      <c r="C286" t="s">
        <v>407</v>
      </c>
      <c r="D286">
        <v>17</v>
      </c>
      <c r="E286" t="s">
        <v>397</v>
      </c>
      <c r="F286" t="s">
        <v>55</v>
      </c>
      <c r="I286" t="s">
        <v>307</v>
      </c>
      <c r="J286" t="s">
        <v>236</v>
      </c>
      <c r="L286">
        <v>1</v>
      </c>
      <c r="M286" t="s">
        <v>25</v>
      </c>
      <c r="N286">
        <v>0</v>
      </c>
      <c r="O286">
        <v>1</v>
      </c>
      <c r="P286">
        <v>1</v>
      </c>
      <c r="Q286">
        <v>1</v>
      </c>
      <c r="R286">
        <v>1</v>
      </c>
      <c r="S286">
        <v>0</v>
      </c>
      <c r="T286">
        <v>0</v>
      </c>
      <c r="U286">
        <v>0</v>
      </c>
      <c r="V286">
        <v>0</v>
      </c>
      <c r="W286" t="s">
        <v>231</v>
      </c>
      <c r="X286" t="s">
        <v>27</v>
      </c>
    </row>
    <row r="287" spans="1:24" x14ac:dyDescent="0.3">
      <c r="A287" t="s">
        <v>22</v>
      </c>
      <c r="B287" t="s">
        <v>381</v>
      </c>
      <c r="C287" t="s">
        <v>407</v>
      </c>
      <c r="D287">
        <v>18</v>
      </c>
      <c r="E287" t="s">
        <v>425</v>
      </c>
      <c r="F287" t="s">
        <v>425</v>
      </c>
      <c r="I287" t="s">
        <v>402</v>
      </c>
      <c r="J287" t="s">
        <v>298</v>
      </c>
      <c r="L287">
        <v>12</v>
      </c>
      <c r="M287" t="s">
        <v>25</v>
      </c>
      <c r="N287">
        <v>0</v>
      </c>
      <c r="O287">
        <v>12</v>
      </c>
      <c r="P287">
        <v>12</v>
      </c>
      <c r="Q287">
        <v>3</v>
      </c>
      <c r="R287">
        <v>0</v>
      </c>
      <c r="S287">
        <v>4</v>
      </c>
      <c r="T287">
        <v>4</v>
      </c>
      <c r="U287">
        <v>4</v>
      </c>
      <c r="V287">
        <v>0</v>
      </c>
      <c r="X287" t="s">
        <v>178</v>
      </c>
    </row>
    <row r="288" spans="1:24" x14ac:dyDescent="0.3">
      <c r="A288" t="s">
        <v>22</v>
      </c>
      <c r="B288" t="s">
        <v>381</v>
      </c>
      <c r="C288" t="s">
        <v>407</v>
      </c>
      <c r="D288">
        <v>19</v>
      </c>
      <c r="E288" t="s">
        <v>426</v>
      </c>
      <c r="F288" t="s">
        <v>426</v>
      </c>
      <c r="I288" t="s">
        <v>402</v>
      </c>
      <c r="J288" t="s">
        <v>298</v>
      </c>
      <c r="L288">
        <v>12</v>
      </c>
      <c r="M288" t="s">
        <v>25</v>
      </c>
      <c r="N288">
        <v>0</v>
      </c>
      <c r="O288">
        <v>12</v>
      </c>
      <c r="P288">
        <v>12</v>
      </c>
      <c r="Q288">
        <v>3</v>
      </c>
      <c r="R288">
        <v>0</v>
      </c>
      <c r="S288">
        <v>4</v>
      </c>
      <c r="T288">
        <v>4</v>
      </c>
      <c r="U288">
        <v>4</v>
      </c>
      <c r="V288">
        <v>0</v>
      </c>
      <c r="X288" t="s">
        <v>27</v>
      </c>
    </row>
    <row r="289" spans="1:24" x14ac:dyDescent="0.3">
      <c r="A289" t="s">
        <v>22</v>
      </c>
      <c r="B289" t="s">
        <v>381</v>
      </c>
      <c r="C289" t="s">
        <v>407</v>
      </c>
      <c r="D289">
        <v>20</v>
      </c>
      <c r="E289" t="s">
        <v>427</v>
      </c>
      <c r="F289" t="s">
        <v>427</v>
      </c>
      <c r="I289" t="s">
        <v>384</v>
      </c>
      <c r="J289" t="s">
        <v>278</v>
      </c>
      <c r="L289">
        <v>2</v>
      </c>
      <c r="M289" t="s">
        <v>25</v>
      </c>
      <c r="N289">
        <v>0</v>
      </c>
      <c r="O289">
        <v>2</v>
      </c>
      <c r="P289">
        <v>2</v>
      </c>
      <c r="Q289">
        <v>1</v>
      </c>
      <c r="R289">
        <v>2</v>
      </c>
      <c r="S289">
        <v>0</v>
      </c>
      <c r="T289">
        <v>0</v>
      </c>
      <c r="U289">
        <v>0</v>
      </c>
      <c r="V289">
        <v>0</v>
      </c>
      <c r="W289" t="s">
        <v>231</v>
      </c>
      <c r="X289" t="s">
        <v>27</v>
      </c>
    </row>
    <row r="290" spans="1:24" x14ac:dyDescent="0.3">
      <c r="A290" t="s">
        <v>22</v>
      </c>
      <c r="B290" t="s">
        <v>381</v>
      </c>
      <c r="C290" t="s">
        <v>428</v>
      </c>
      <c r="D290">
        <v>1</v>
      </c>
      <c r="E290" t="s">
        <v>429</v>
      </c>
      <c r="F290" t="s">
        <v>31</v>
      </c>
      <c r="G290">
        <v>5</v>
      </c>
      <c r="I290" t="s">
        <v>378</v>
      </c>
      <c r="J290" t="s">
        <v>354</v>
      </c>
      <c r="L290">
        <v>15</v>
      </c>
      <c r="M290" t="s">
        <v>25</v>
      </c>
      <c r="N290">
        <v>0</v>
      </c>
      <c r="O290">
        <v>15</v>
      </c>
      <c r="P290">
        <v>15</v>
      </c>
      <c r="Q290">
        <v>3</v>
      </c>
      <c r="R290">
        <v>0</v>
      </c>
      <c r="S290">
        <v>5</v>
      </c>
      <c r="T290">
        <v>5</v>
      </c>
      <c r="U290">
        <v>5</v>
      </c>
      <c r="V290">
        <v>0</v>
      </c>
      <c r="X290" t="s">
        <v>27</v>
      </c>
    </row>
    <row r="291" spans="1:24" x14ac:dyDescent="0.3">
      <c r="A291" t="s">
        <v>22</v>
      </c>
      <c r="B291" t="s">
        <v>381</v>
      </c>
      <c r="C291" t="s">
        <v>428</v>
      </c>
      <c r="D291">
        <v>2</v>
      </c>
      <c r="E291" t="s">
        <v>429</v>
      </c>
      <c r="F291" t="s">
        <v>287</v>
      </c>
      <c r="I291" t="s">
        <v>378</v>
      </c>
      <c r="J291" t="s">
        <v>354</v>
      </c>
      <c r="L291">
        <v>15</v>
      </c>
      <c r="M291" t="s">
        <v>25</v>
      </c>
      <c r="N291">
        <v>0</v>
      </c>
      <c r="O291">
        <v>15</v>
      </c>
      <c r="P291">
        <v>15</v>
      </c>
      <c r="Q291">
        <v>3</v>
      </c>
      <c r="R291">
        <v>0</v>
      </c>
      <c r="S291">
        <v>5</v>
      </c>
      <c r="T291">
        <v>5</v>
      </c>
      <c r="U291">
        <v>5</v>
      </c>
      <c r="V291">
        <v>0</v>
      </c>
      <c r="X291" t="s">
        <v>74</v>
      </c>
    </row>
    <row r="292" spans="1:24" x14ac:dyDescent="0.3">
      <c r="A292" t="s">
        <v>22</v>
      </c>
      <c r="B292" t="s">
        <v>381</v>
      </c>
      <c r="C292" t="s">
        <v>428</v>
      </c>
      <c r="D292">
        <v>3</v>
      </c>
      <c r="E292" t="s">
        <v>429</v>
      </c>
      <c r="F292" t="s">
        <v>292</v>
      </c>
      <c r="I292" t="s">
        <v>351</v>
      </c>
      <c r="J292" t="s">
        <v>354</v>
      </c>
      <c r="L292">
        <v>15</v>
      </c>
      <c r="M292" t="s">
        <v>25</v>
      </c>
      <c r="N292">
        <v>0</v>
      </c>
      <c r="O292">
        <v>15</v>
      </c>
      <c r="P292">
        <v>15</v>
      </c>
      <c r="Q292">
        <v>3</v>
      </c>
      <c r="R292">
        <v>0</v>
      </c>
      <c r="S292">
        <v>5</v>
      </c>
      <c r="T292">
        <v>5</v>
      </c>
      <c r="U292">
        <v>5</v>
      </c>
      <c r="V292">
        <v>0</v>
      </c>
      <c r="X292" t="s">
        <v>178</v>
      </c>
    </row>
    <row r="293" spans="1:24" x14ac:dyDescent="0.3">
      <c r="A293" t="s">
        <v>22</v>
      </c>
      <c r="B293" t="s">
        <v>381</v>
      </c>
      <c r="C293" t="s">
        <v>428</v>
      </c>
      <c r="D293">
        <v>4</v>
      </c>
      <c r="E293" t="s">
        <v>430</v>
      </c>
      <c r="F293" t="s">
        <v>31</v>
      </c>
      <c r="G293">
        <v>2</v>
      </c>
      <c r="I293" t="s">
        <v>390</v>
      </c>
      <c r="J293" t="s">
        <v>275</v>
      </c>
      <c r="L293">
        <v>9</v>
      </c>
      <c r="M293" t="s">
        <v>25</v>
      </c>
      <c r="N293">
        <v>0</v>
      </c>
      <c r="O293">
        <v>9</v>
      </c>
      <c r="P293">
        <v>9</v>
      </c>
      <c r="Q293">
        <v>3</v>
      </c>
      <c r="R293">
        <v>0</v>
      </c>
      <c r="S293">
        <v>3</v>
      </c>
      <c r="T293">
        <v>3</v>
      </c>
      <c r="U293">
        <v>3</v>
      </c>
      <c r="V293">
        <v>0</v>
      </c>
      <c r="X293" t="s">
        <v>27</v>
      </c>
    </row>
    <row r="294" spans="1:24" x14ac:dyDescent="0.3">
      <c r="A294" t="s">
        <v>22</v>
      </c>
      <c r="B294" t="s">
        <v>381</v>
      </c>
      <c r="C294" t="s">
        <v>428</v>
      </c>
      <c r="D294">
        <v>5</v>
      </c>
      <c r="E294" t="s">
        <v>430</v>
      </c>
      <c r="F294" t="s">
        <v>287</v>
      </c>
      <c r="I294" t="s">
        <v>390</v>
      </c>
      <c r="J294" t="s">
        <v>275</v>
      </c>
      <c r="L294">
        <v>9</v>
      </c>
      <c r="M294" t="s">
        <v>25</v>
      </c>
      <c r="N294">
        <v>0</v>
      </c>
      <c r="O294">
        <v>9</v>
      </c>
      <c r="P294">
        <v>9</v>
      </c>
      <c r="Q294">
        <v>3</v>
      </c>
      <c r="R294">
        <v>0</v>
      </c>
      <c r="S294">
        <v>3</v>
      </c>
      <c r="T294">
        <v>3</v>
      </c>
      <c r="U294">
        <v>3</v>
      </c>
      <c r="V294">
        <v>0</v>
      </c>
      <c r="X294" t="s">
        <v>74</v>
      </c>
    </row>
    <row r="295" spans="1:24" x14ac:dyDescent="0.3">
      <c r="A295" t="s">
        <v>22</v>
      </c>
      <c r="B295" t="s">
        <v>381</v>
      </c>
      <c r="C295" t="s">
        <v>428</v>
      </c>
      <c r="D295">
        <v>6</v>
      </c>
      <c r="E295" t="s">
        <v>431</v>
      </c>
      <c r="F295" t="s">
        <v>31</v>
      </c>
      <c r="G295">
        <v>2</v>
      </c>
      <c r="I295" t="s">
        <v>326</v>
      </c>
      <c r="J295" t="s">
        <v>214</v>
      </c>
      <c r="L295">
        <v>6</v>
      </c>
      <c r="M295" t="s">
        <v>25</v>
      </c>
      <c r="N295">
        <v>0</v>
      </c>
      <c r="O295">
        <v>6</v>
      </c>
      <c r="P295">
        <v>6</v>
      </c>
      <c r="Q295">
        <v>3</v>
      </c>
      <c r="R295">
        <v>0</v>
      </c>
      <c r="S295">
        <v>2</v>
      </c>
      <c r="T295">
        <v>2</v>
      </c>
      <c r="U295">
        <v>2</v>
      </c>
      <c r="V295">
        <v>0</v>
      </c>
      <c r="X295" t="s">
        <v>27</v>
      </c>
    </row>
    <row r="296" spans="1:24" x14ac:dyDescent="0.3">
      <c r="A296" t="s">
        <v>22</v>
      </c>
      <c r="B296" t="s">
        <v>381</v>
      </c>
      <c r="C296" t="s">
        <v>428</v>
      </c>
      <c r="D296">
        <v>7</v>
      </c>
      <c r="E296" t="s">
        <v>431</v>
      </c>
      <c r="F296" t="s">
        <v>287</v>
      </c>
      <c r="I296" t="s">
        <v>326</v>
      </c>
      <c r="J296" t="s">
        <v>214</v>
      </c>
      <c r="L296">
        <v>6</v>
      </c>
      <c r="M296" t="s">
        <v>25</v>
      </c>
      <c r="N296">
        <v>0</v>
      </c>
      <c r="O296">
        <v>6</v>
      </c>
      <c r="P296">
        <v>6</v>
      </c>
      <c r="Q296">
        <v>3</v>
      </c>
      <c r="R296">
        <v>0</v>
      </c>
      <c r="S296">
        <v>2</v>
      </c>
      <c r="T296">
        <v>2</v>
      </c>
      <c r="U296">
        <v>2</v>
      </c>
      <c r="V296">
        <v>0</v>
      </c>
      <c r="X296" t="s">
        <v>74</v>
      </c>
    </row>
    <row r="297" spans="1:24" x14ac:dyDescent="0.3">
      <c r="A297" t="s">
        <v>22</v>
      </c>
      <c r="B297" t="s">
        <v>381</v>
      </c>
      <c r="C297" t="s">
        <v>428</v>
      </c>
      <c r="D297">
        <v>8</v>
      </c>
      <c r="E297" t="s">
        <v>432</v>
      </c>
      <c r="F297" t="s">
        <v>31</v>
      </c>
      <c r="G297">
        <v>2</v>
      </c>
      <c r="I297" t="s">
        <v>371</v>
      </c>
      <c r="J297" t="s">
        <v>227</v>
      </c>
      <c r="L297">
        <v>3</v>
      </c>
      <c r="M297" t="s">
        <v>25</v>
      </c>
      <c r="N297">
        <v>0</v>
      </c>
      <c r="O297">
        <v>3</v>
      </c>
      <c r="P297">
        <v>3</v>
      </c>
      <c r="Q297">
        <v>3</v>
      </c>
      <c r="R297">
        <v>0</v>
      </c>
      <c r="S297">
        <v>1</v>
      </c>
      <c r="T297">
        <v>1</v>
      </c>
      <c r="U297">
        <v>1</v>
      </c>
      <c r="V297">
        <v>0</v>
      </c>
      <c r="X297" t="s">
        <v>27</v>
      </c>
    </row>
    <row r="298" spans="1:24" x14ac:dyDescent="0.3">
      <c r="A298" t="s">
        <v>22</v>
      </c>
      <c r="B298" t="s">
        <v>381</v>
      </c>
      <c r="C298" t="s">
        <v>428</v>
      </c>
      <c r="D298">
        <v>9</v>
      </c>
      <c r="E298" t="s">
        <v>432</v>
      </c>
      <c r="F298" t="s">
        <v>287</v>
      </c>
      <c r="I298" t="s">
        <v>326</v>
      </c>
      <c r="J298" t="s">
        <v>214</v>
      </c>
      <c r="L298">
        <v>6</v>
      </c>
      <c r="M298" t="s">
        <v>25</v>
      </c>
      <c r="N298">
        <v>0</v>
      </c>
      <c r="O298">
        <v>6</v>
      </c>
      <c r="P298">
        <v>6</v>
      </c>
      <c r="Q298">
        <v>3</v>
      </c>
      <c r="R298">
        <v>0</v>
      </c>
      <c r="S298">
        <v>2</v>
      </c>
      <c r="T298">
        <v>2</v>
      </c>
      <c r="U298">
        <v>2</v>
      </c>
      <c r="V298">
        <v>0</v>
      </c>
      <c r="X298" t="s">
        <v>74</v>
      </c>
    </row>
    <row r="299" spans="1:24" x14ac:dyDescent="0.3">
      <c r="A299" t="s">
        <v>22</v>
      </c>
      <c r="B299" t="s">
        <v>381</v>
      </c>
      <c r="C299" t="s">
        <v>428</v>
      </c>
      <c r="D299">
        <v>11</v>
      </c>
      <c r="E299" t="s">
        <v>414</v>
      </c>
      <c r="F299" t="s">
        <v>31</v>
      </c>
      <c r="G299">
        <v>1</v>
      </c>
      <c r="I299" t="s">
        <v>371</v>
      </c>
      <c r="J299" t="s">
        <v>227</v>
      </c>
      <c r="L299">
        <v>3</v>
      </c>
      <c r="M299" t="s">
        <v>25</v>
      </c>
      <c r="N299">
        <v>0</v>
      </c>
      <c r="O299">
        <v>3</v>
      </c>
      <c r="P299">
        <v>3</v>
      </c>
      <c r="Q299">
        <v>3</v>
      </c>
      <c r="R299">
        <v>0</v>
      </c>
      <c r="S299">
        <v>1</v>
      </c>
      <c r="T299">
        <v>1</v>
      </c>
      <c r="U299">
        <v>1</v>
      </c>
      <c r="V299">
        <v>0</v>
      </c>
      <c r="X299" t="s">
        <v>27</v>
      </c>
    </row>
    <row r="300" spans="1:24" x14ac:dyDescent="0.3">
      <c r="A300" t="s">
        <v>22</v>
      </c>
      <c r="B300" t="s">
        <v>381</v>
      </c>
      <c r="C300" t="s">
        <v>428</v>
      </c>
      <c r="D300">
        <v>12</v>
      </c>
      <c r="E300" t="s">
        <v>414</v>
      </c>
      <c r="F300" t="s">
        <v>287</v>
      </c>
      <c r="I300" t="s">
        <v>371</v>
      </c>
      <c r="J300" t="s">
        <v>227</v>
      </c>
      <c r="L300">
        <v>3</v>
      </c>
      <c r="M300" t="s">
        <v>25</v>
      </c>
      <c r="N300">
        <v>0</v>
      </c>
      <c r="O300">
        <v>3</v>
      </c>
      <c r="P300">
        <v>3</v>
      </c>
      <c r="Q300">
        <v>3</v>
      </c>
      <c r="R300">
        <v>0</v>
      </c>
      <c r="S300">
        <v>1</v>
      </c>
      <c r="T300">
        <v>1</v>
      </c>
      <c r="U300">
        <v>1</v>
      </c>
      <c r="V300">
        <v>0</v>
      </c>
      <c r="X300" t="s">
        <v>74</v>
      </c>
    </row>
    <row r="301" spans="1:24" x14ac:dyDescent="0.3">
      <c r="A301" t="s">
        <v>22</v>
      </c>
      <c r="B301" t="s">
        <v>381</v>
      </c>
      <c r="C301" t="s">
        <v>428</v>
      </c>
      <c r="D301">
        <v>13</v>
      </c>
      <c r="E301" t="s">
        <v>414</v>
      </c>
      <c r="F301" t="s">
        <v>292</v>
      </c>
      <c r="I301" t="s">
        <v>377</v>
      </c>
      <c r="J301" t="s">
        <v>227</v>
      </c>
      <c r="L301">
        <v>3</v>
      </c>
      <c r="M301" t="s">
        <v>25</v>
      </c>
      <c r="N301">
        <v>0</v>
      </c>
      <c r="O301">
        <v>3</v>
      </c>
      <c r="P301">
        <v>3</v>
      </c>
      <c r="Q301">
        <v>3</v>
      </c>
      <c r="R301">
        <v>0</v>
      </c>
      <c r="S301">
        <v>1</v>
      </c>
      <c r="T301">
        <v>1</v>
      </c>
      <c r="U301">
        <v>1</v>
      </c>
      <c r="V301">
        <v>0</v>
      </c>
      <c r="X301" t="s">
        <v>178</v>
      </c>
    </row>
    <row r="302" spans="1:24" x14ac:dyDescent="0.3">
      <c r="A302" t="s">
        <v>22</v>
      </c>
      <c r="B302" t="s">
        <v>381</v>
      </c>
      <c r="C302" t="s">
        <v>428</v>
      </c>
      <c r="D302">
        <v>14</v>
      </c>
      <c r="E302" t="s">
        <v>433</v>
      </c>
      <c r="F302" t="s">
        <v>31</v>
      </c>
      <c r="G302">
        <v>1</v>
      </c>
      <c r="I302" t="s">
        <v>326</v>
      </c>
      <c r="J302" t="s">
        <v>214</v>
      </c>
      <c r="L302">
        <v>6</v>
      </c>
      <c r="M302" t="s">
        <v>25</v>
      </c>
      <c r="N302">
        <v>0</v>
      </c>
      <c r="O302">
        <v>6</v>
      </c>
      <c r="P302">
        <v>6</v>
      </c>
      <c r="Q302">
        <v>3</v>
      </c>
      <c r="R302">
        <v>0</v>
      </c>
      <c r="S302">
        <v>2</v>
      </c>
      <c r="T302">
        <v>2</v>
      </c>
      <c r="U302">
        <v>2</v>
      </c>
      <c r="V302">
        <v>0</v>
      </c>
      <c r="X302" t="s">
        <v>27</v>
      </c>
    </row>
    <row r="303" spans="1:24" x14ac:dyDescent="0.3">
      <c r="A303" t="s">
        <v>22</v>
      </c>
      <c r="B303" t="s">
        <v>381</v>
      </c>
      <c r="C303" t="s">
        <v>428</v>
      </c>
      <c r="D303">
        <v>15</v>
      </c>
      <c r="E303" t="s">
        <v>433</v>
      </c>
      <c r="F303" t="s">
        <v>287</v>
      </c>
      <c r="I303" t="s">
        <v>326</v>
      </c>
      <c r="J303" t="s">
        <v>214</v>
      </c>
      <c r="L303">
        <v>6</v>
      </c>
      <c r="M303" t="s">
        <v>25</v>
      </c>
      <c r="N303">
        <v>0</v>
      </c>
      <c r="O303">
        <v>6</v>
      </c>
      <c r="P303">
        <v>6</v>
      </c>
      <c r="Q303">
        <v>3</v>
      </c>
      <c r="R303">
        <v>0</v>
      </c>
      <c r="S303">
        <v>2</v>
      </c>
      <c r="T303">
        <v>2</v>
      </c>
      <c r="U303">
        <v>2</v>
      </c>
      <c r="V303">
        <v>0</v>
      </c>
      <c r="X303" t="s">
        <v>74</v>
      </c>
    </row>
    <row r="304" spans="1:24" x14ac:dyDescent="0.3">
      <c r="A304" t="s">
        <v>22</v>
      </c>
      <c r="B304" t="s">
        <v>381</v>
      </c>
      <c r="C304" t="s">
        <v>428</v>
      </c>
      <c r="D304">
        <v>16</v>
      </c>
      <c r="E304" t="s">
        <v>434</v>
      </c>
      <c r="F304" t="s">
        <v>31</v>
      </c>
      <c r="G304">
        <v>1</v>
      </c>
      <c r="I304" t="s">
        <v>371</v>
      </c>
      <c r="J304" t="s">
        <v>227</v>
      </c>
      <c r="L304">
        <v>3</v>
      </c>
      <c r="M304" t="s">
        <v>25</v>
      </c>
      <c r="N304">
        <v>0</v>
      </c>
      <c r="O304">
        <v>3</v>
      </c>
      <c r="P304">
        <v>3</v>
      </c>
      <c r="Q304">
        <v>3</v>
      </c>
      <c r="R304">
        <v>0</v>
      </c>
      <c r="S304">
        <v>1</v>
      </c>
      <c r="T304">
        <v>1</v>
      </c>
      <c r="U304">
        <v>1</v>
      </c>
      <c r="V304">
        <v>0</v>
      </c>
      <c r="X304" t="s">
        <v>27</v>
      </c>
    </row>
    <row r="305" spans="1:24" x14ac:dyDescent="0.3">
      <c r="A305" t="s">
        <v>22</v>
      </c>
      <c r="B305" t="s">
        <v>381</v>
      </c>
      <c r="C305" t="s">
        <v>428</v>
      </c>
      <c r="D305">
        <v>17</v>
      </c>
      <c r="E305" t="s">
        <v>434</v>
      </c>
      <c r="F305" t="s">
        <v>287</v>
      </c>
      <c r="I305" t="s">
        <v>371</v>
      </c>
      <c r="J305" t="s">
        <v>227</v>
      </c>
      <c r="L305">
        <v>3</v>
      </c>
      <c r="M305" t="s">
        <v>25</v>
      </c>
      <c r="N305">
        <v>0</v>
      </c>
      <c r="O305">
        <v>3</v>
      </c>
      <c r="P305">
        <v>3</v>
      </c>
      <c r="Q305">
        <v>3</v>
      </c>
      <c r="R305">
        <v>0</v>
      </c>
      <c r="S305">
        <v>1</v>
      </c>
      <c r="T305">
        <v>1</v>
      </c>
      <c r="U305">
        <v>1</v>
      </c>
      <c r="V305">
        <v>0</v>
      </c>
      <c r="X305" t="s">
        <v>74</v>
      </c>
    </row>
    <row r="306" spans="1:24" x14ac:dyDescent="0.3">
      <c r="A306" t="s">
        <v>22</v>
      </c>
      <c r="B306" t="s">
        <v>381</v>
      </c>
      <c r="C306" t="s">
        <v>428</v>
      </c>
      <c r="D306">
        <v>18</v>
      </c>
      <c r="E306" t="s">
        <v>331</v>
      </c>
      <c r="F306" t="s">
        <v>398</v>
      </c>
      <c r="I306" t="s">
        <v>399</v>
      </c>
      <c r="J306" t="s">
        <v>214</v>
      </c>
      <c r="L306">
        <v>6</v>
      </c>
      <c r="M306" t="s">
        <v>25</v>
      </c>
      <c r="N306">
        <v>0</v>
      </c>
      <c r="O306">
        <v>6</v>
      </c>
      <c r="P306">
        <v>6</v>
      </c>
      <c r="Q306">
        <v>3</v>
      </c>
      <c r="R306">
        <v>0</v>
      </c>
      <c r="S306">
        <v>2</v>
      </c>
      <c r="T306">
        <v>2</v>
      </c>
      <c r="U306">
        <v>2</v>
      </c>
      <c r="V306">
        <v>0</v>
      </c>
      <c r="X306" t="s">
        <v>27</v>
      </c>
    </row>
    <row r="307" spans="1:24" x14ac:dyDescent="0.3">
      <c r="A307" t="s">
        <v>22</v>
      </c>
      <c r="B307" t="s">
        <v>381</v>
      </c>
      <c r="C307" t="s">
        <v>428</v>
      </c>
      <c r="D307">
        <v>19</v>
      </c>
      <c r="E307" t="s">
        <v>435</v>
      </c>
      <c r="F307" t="s">
        <v>436</v>
      </c>
      <c r="I307" t="s">
        <v>424</v>
      </c>
      <c r="J307" t="s">
        <v>227</v>
      </c>
      <c r="L307">
        <v>3</v>
      </c>
      <c r="M307" t="s">
        <v>25</v>
      </c>
      <c r="N307">
        <v>0</v>
      </c>
      <c r="O307">
        <v>3</v>
      </c>
      <c r="P307">
        <v>3</v>
      </c>
      <c r="Q307">
        <v>3</v>
      </c>
      <c r="R307">
        <v>0</v>
      </c>
      <c r="S307">
        <v>1</v>
      </c>
      <c r="T307">
        <v>1</v>
      </c>
      <c r="U307">
        <v>1</v>
      </c>
      <c r="V307">
        <v>0</v>
      </c>
      <c r="X307" t="s">
        <v>74</v>
      </c>
    </row>
    <row r="308" spans="1:24" x14ac:dyDescent="0.3">
      <c r="A308" t="s">
        <v>22</v>
      </c>
      <c r="B308" t="s">
        <v>381</v>
      </c>
      <c r="C308" t="s">
        <v>428</v>
      </c>
      <c r="D308">
        <v>20</v>
      </c>
      <c r="E308" t="s">
        <v>415</v>
      </c>
      <c r="F308" t="s">
        <v>437</v>
      </c>
      <c r="I308" t="s">
        <v>438</v>
      </c>
      <c r="J308" t="s">
        <v>348</v>
      </c>
      <c r="L308">
        <v>4</v>
      </c>
      <c r="M308" t="s">
        <v>25</v>
      </c>
      <c r="N308">
        <v>0</v>
      </c>
      <c r="O308">
        <v>4</v>
      </c>
      <c r="P308">
        <v>4</v>
      </c>
      <c r="Q308">
        <v>2</v>
      </c>
      <c r="R308">
        <v>0</v>
      </c>
      <c r="S308">
        <v>2</v>
      </c>
      <c r="T308">
        <v>2</v>
      </c>
      <c r="U308">
        <v>0</v>
      </c>
      <c r="V308">
        <v>0</v>
      </c>
      <c r="X308" t="s">
        <v>27</v>
      </c>
    </row>
    <row r="309" spans="1:24" x14ac:dyDescent="0.3">
      <c r="A309" t="s">
        <v>22</v>
      </c>
      <c r="B309" t="s">
        <v>381</v>
      </c>
      <c r="C309" t="s">
        <v>428</v>
      </c>
      <c r="D309">
        <v>21</v>
      </c>
      <c r="E309" t="s">
        <v>397</v>
      </c>
      <c r="F309" t="s">
        <v>55</v>
      </c>
      <c r="I309" t="s">
        <v>307</v>
      </c>
      <c r="J309" t="s">
        <v>236</v>
      </c>
      <c r="L309">
        <v>1</v>
      </c>
      <c r="M309" t="s">
        <v>25</v>
      </c>
      <c r="N309">
        <v>0</v>
      </c>
      <c r="O309">
        <v>1</v>
      </c>
      <c r="P309">
        <v>1</v>
      </c>
      <c r="Q309">
        <v>1</v>
      </c>
      <c r="R309">
        <v>1</v>
      </c>
      <c r="S309">
        <v>0</v>
      </c>
      <c r="T309">
        <v>0</v>
      </c>
      <c r="U309">
        <v>0</v>
      </c>
      <c r="V309">
        <v>0</v>
      </c>
      <c r="W309" t="s">
        <v>231</v>
      </c>
      <c r="X309" t="s">
        <v>27</v>
      </c>
    </row>
    <row r="310" spans="1:24" x14ac:dyDescent="0.3">
      <c r="A310" t="s">
        <v>22</v>
      </c>
      <c r="B310" t="s">
        <v>381</v>
      </c>
      <c r="C310" t="s">
        <v>428</v>
      </c>
      <c r="D310">
        <v>22</v>
      </c>
      <c r="E310" t="s">
        <v>400</v>
      </c>
      <c r="F310" t="s">
        <v>401</v>
      </c>
      <c r="I310" t="s">
        <v>372</v>
      </c>
      <c r="J310" t="s">
        <v>214</v>
      </c>
      <c r="L310">
        <v>6</v>
      </c>
      <c r="M310" t="s">
        <v>25</v>
      </c>
      <c r="N310">
        <v>0</v>
      </c>
      <c r="O310">
        <v>6</v>
      </c>
      <c r="P310">
        <v>6</v>
      </c>
      <c r="Q310">
        <v>3</v>
      </c>
      <c r="R310">
        <v>0</v>
      </c>
      <c r="S310">
        <v>2</v>
      </c>
      <c r="T310">
        <v>2</v>
      </c>
      <c r="U310">
        <v>2</v>
      </c>
      <c r="V310">
        <v>0</v>
      </c>
      <c r="X310" t="s">
        <v>178</v>
      </c>
    </row>
    <row r="311" spans="1:24" x14ac:dyDescent="0.3">
      <c r="A311" t="s">
        <v>22</v>
      </c>
      <c r="B311" t="s">
        <v>381</v>
      </c>
      <c r="C311" t="s">
        <v>439</v>
      </c>
      <c r="D311">
        <v>1</v>
      </c>
      <c r="E311" t="s">
        <v>440</v>
      </c>
      <c r="F311" t="s">
        <v>31</v>
      </c>
      <c r="G311">
        <v>2</v>
      </c>
      <c r="I311" t="s">
        <v>326</v>
      </c>
      <c r="J311" t="s">
        <v>214</v>
      </c>
      <c r="L311">
        <v>6</v>
      </c>
      <c r="M311" t="s">
        <v>25</v>
      </c>
      <c r="N311">
        <v>0</v>
      </c>
      <c r="O311">
        <v>6</v>
      </c>
      <c r="P311">
        <v>6</v>
      </c>
      <c r="Q311">
        <v>3</v>
      </c>
      <c r="R311">
        <v>0</v>
      </c>
      <c r="S311">
        <v>2</v>
      </c>
      <c r="T311">
        <v>2</v>
      </c>
      <c r="U311">
        <v>2</v>
      </c>
      <c r="V311">
        <v>0</v>
      </c>
      <c r="X311" t="s">
        <v>27</v>
      </c>
    </row>
    <row r="312" spans="1:24" x14ac:dyDescent="0.3">
      <c r="A312" t="s">
        <v>22</v>
      </c>
      <c r="B312" t="s">
        <v>381</v>
      </c>
      <c r="C312" t="s">
        <v>439</v>
      </c>
      <c r="D312">
        <v>2</v>
      </c>
      <c r="E312" t="s">
        <v>440</v>
      </c>
      <c r="F312" t="s">
        <v>292</v>
      </c>
      <c r="I312" t="s">
        <v>355</v>
      </c>
      <c r="J312" t="s">
        <v>214</v>
      </c>
      <c r="L312">
        <v>6</v>
      </c>
      <c r="M312" t="s">
        <v>25</v>
      </c>
      <c r="N312">
        <v>0</v>
      </c>
      <c r="O312">
        <v>6</v>
      </c>
      <c r="P312">
        <v>6</v>
      </c>
      <c r="Q312">
        <v>3</v>
      </c>
      <c r="R312">
        <v>0</v>
      </c>
      <c r="S312">
        <v>2</v>
      </c>
      <c r="T312">
        <v>2</v>
      </c>
      <c r="U312">
        <v>2</v>
      </c>
      <c r="V312">
        <v>0</v>
      </c>
      <c r="X312" t="s">
        <v>178</v>
      </c>
    </row>
    <row r="313" spans="1:24" x14ac:dyDescent="0.3">
      <c r="A313" t="s">
        <v>22</v>
      </c>
      <c r="B313" t="s">
        <v>381</v>
      </c>
      <c r="C313" t="s">
        <v>439</v>
      </c>
      <c r="D313">
        <v>3</v>
      </c>
      <c r="E313" t="s">
        <v>321</v>
      </c>
      <c r="F313" t="s">
        <v>31</v>
      </c>
      <c r="G313">
        <v>2</v>
      </c>
      <c r="I313" t="s">
        <v>441</v>
      </c>
      <c r="J313" t="s">
        <v>610</v>
      </c>
      <c r="L313">
        <v>4</v>
      </c>
      <c r="M313" t="s">
        <v>25</v>
      </c>
      <c r="N313">
        <v>0</v>
      </c>
      <c r="O313">
        <v>4</v>
      </c>
      <c r="P313">
        <v>4</v>
      </c>
      <c r="Q313">
        <v>1</v>
      </c>
      <c r="R313">
        <v>4</v>
      </c>
      <c r="S313">
        <v>0</v>
      </c>
      <c r="T313">
        <v>0</v>
      </c>
      <c r="U313">
        <v>0</v>
      </c>
      <c r="V313">
        <v>0</v>
      </c>
      <c r="W313" t="s">
        <v>252</v>
      </c>
      <c r="X313" t="s">
        <v>27</v>
      </c>
    </row>
    <row r="314" spans="1:24" x14ac:dyDescent="0.3">
      <c r="A314" t="s">
        <v>22</v>
      </c>
      <c r="B314" t="s">
        <v>381</v>
      </c>
      <c r="C314" t="s">
        <v>439</v>
      </c>
      <c r="D314">
        <v>4</v>
      </c>
      <c r="E314" t="s">
        <v>321</v>
      </c>
      <c r="F314" t="s">
        <v>292</v>
      </c>
      <c r="I314" t="s">
        <v>441</v>
      </c>
      <c r="J314" t="s">
        <v>645</v>
      </c>
      <c r="L314">
        <v>5</v>
      </c>
      <c r="M314" t="s">
        <v>25</v>
      </c>
      <c r="N314">
        <v>0</v>
      </c>
      <c r="O314">
        <v>5</v>
      </c>
      <c r="P314">
        <v>5</v>
      </c>
      <c r="Q314">
        <v>1</v>
      </c>
      <c r="R314">
        <v>5</v>
      </c>
      <c r="S314">
        <v>0</v>
      </c>
      <c r="T314">
        <v>0</v>
      </c>
      <c r="U314">
        <v>0</v>
      </c>
      <c r="V314">
        <v>0</v>
      </c>
      <c r="W314" t="s">
        <v>252</v>
      </c>
      <c r="X314" t="s">
        <v>178</v>
      </c>
    </row>
    <row r="315" spans="1:24" x14ac:dyDescent="0.3">
      <c r="A315" t="s">
        <v>22</v>
      </c>
      <c r="B315" t="s">
        <v>381</v>
      </c>
      <c r="C315" t="s">
        <v>439</v>
      </c>
      <c r="D315">
        <v>5</v>
      </c>
      <c r="E315" t="s">
        <v>442</v>
      </c>
      <c r="F315" t="s">
        <v>31</v>
      </c>
      <c r="G315">
        <v>2</v>
      </c>
      <c r="I315" t="s">
        <v>410</v>
      </c>
      <c r="J315" t="s">
        <v>352</v>
      </c>
      <c r="L315">
        <v>14</v>
      </c>
      <c r="M315" t="s">
        <v>25</v>
      </c>
      <c r="N315">
        <v>0</v>
      </c>
      <c r="O315">
        <v>14</v>
      </c>
      <c r="P315">
        <v>14</v>
      </c>
      <c r="Q315">
        <v>3</v>
      </c>
      <c r="R315">
        <v>0</v>
      </c>
      <c r="S315">
        <v>4.67</v>
      </c>
      <c r="T315">
        <v>4.67</v>
      </c>
      <c r="U315">
        <v>4.66</v>
      </c>
      <c r="V315">
        <v>0</v>
      </c>
      <c r="W315" t="s">
        <v>403</v>
      </c>
      <c r="X315" t="s">
        <v>27</v>
      </c>
    </row>
    <row r="316" spans="1:24" x14ac:dyDescent="0.3">
      <c r="A316" t="s">
        <v>22</v>
      </c>
      <c r="B316" t="s">
        <v>381</v>
      </c>
      <c r="C316" t="s">
        <v>439</v>
      </c>
      <c r="D316">
        <v>6</v>
      </c>
      <c r="E316" t="s">
        <v>442</v>
      </c>
      <c r="F316" t="s">
        <v>287</v>
      </c>
      <c r="I316" t="s">
        <v>378</v>
      </c>
      <c r="J316" t="s">
        <v>362</v>
      </c>
      <c r="L316">
        <v>16</v>
      </c>
      <c r="M316" t="s">
        <v>25</v>
      </c>
      <c r="N316">
        <v>0</v>
      </c>
      <c r="O316">
        <v>16</v>
      </c>
      <c r="P316">
        <v>16</v>
      </c>
      <c r="Q316">
        <v>3</v>
      </c>
      <c r="R316">
        <v>0</v>
      </c>
      <c r="S316">
        <v>5.33</v>
      </c>
      <c r="T316">
        <v>5.33</v>
      </c>
      <c r="U316">
        <v>5.34</v>
      </c>
      <c r="V316">
        <v>0</v>
      </c>
      <c r="W316" t="s">
        <v>363</v>
      </c>
      <c r="X316" t="s">
        <v>74</v>
      </c>
    </row>
    <row r="317" spans="1:24" x14ac:dyDescent="0.3">
      <c r="A317" t="s">
        <v>22</v>
      </c>
      <c r="B317" t="s">
        <v>381</v>
      </c>
      <c r="C317" t="s">
        <v>439</v>
      </c>
      <c r="D317">
        <v>7</v>
      </c>
      <c r="E317" t="s">
        <v>442</v>
      </c>
      <c r="F317" t="s">
        <v>292</v>
      </c>
      <c r="I317" t="s">
        <v>379</v>
      </c>
      <c r="J317" t="s">
        <v>290</v>
      </c>
      <c r="L317">
        <v>18</v>
      </c>
      <c r="M317" t="s">
        <v>25</v>
      </c>
      <c r="N317">
        <v>0</v>
      </c>
      <c r="O317">
        <v>18</v>
      </c>
      <c r="P317">
        <v>18</v>
      </c>
      <c r="Q317">
        <v>3</v>
      </c>
      <c r="R317">
        <v>0</v>
      </c>
      <c r="S317">
        <v>6</v>
      </c>
      <c r="T317">
        <v>6</v>
      </c>
      <c r="U317">
        <v>6</v>
      </c>
      <c r="V317">
        <v>0</v>
      </c>
      <c r="X317" t="s">
        <v>178</v>
      </c>
    </row>
    <row r="318" spans="1:24" x14ac:dyDescent="0.3">
      <c r="A318" t="s">
        <v>22</v>
      </c>
      <c r="B318" t="s">
        <v>381</v>
      </c>
      <c r="C318" t="s">
        <v>439</v>
      </c>
      <c r="D318">
        <v>8</v>
      </c>
      <c r="E318" t="s">
        <v>330</v>
      </c>
      <c r="F318" t="s">
        <v>31</v>
      </c>
      <c r="G318">
        <v>2</v>
      </c>
      <c r="I318" t="s">
        <v>326</v>
      </c>
      <c r="J318" t="s">
        <v>214</v>
      </c>
      <c r="L318">
        <v>6</v>
      </c>
      <c r="M318" t="s">
        <v>25</v>
      </c>
      <c r="N318">
        <v>0</v>
      </c>
      <c r="O318">
        <v>6</v>
      </c>
      <c r="P318">
        <v>6</v>
      </c>
      <c r="Q318">
        <v>3</v>
      </c>
      <c r="R318">
        <v>0</v>
      </c>
      <c r="S318">
        <v>2</v>
      </c>
      <c r="T318">
        <v>2</v>
      </c>
      <c r="U318">
        <v>2</v>
      </c>
      <c r="V318">
        <v>0</v>
      </c>
      <c r="X318" t="s">
        <v>27</v>
      </c>
    </row>
    <row r="319" spans="1:24" x14ac:dyDescent="0.3">
      <c r="A319" t="s">
        <v>22</v>
      </c>
      <c r="B319" t="s">
        <v>381</v>
      </c>
      <c r="C319" t="s">
        <v>439</v>
      </c>
      <c r="D319">
        <v>9</v>
      </c>
      <c r="E319" t="s">
        <v>330</v>
      </c>
      <c r="F319" t="s">
        <v>292</v>
      </c>
      <c r="I319" t="s">
        <v>355</v>
      </c>
      <c r="J319" t="s">
        <v>214</v>
      </c>
      <c r="L319">
        <v>6</v>
      </c>
      <c r="M319" t="s">
        <v>25</v>
      </c>
      <c r="N319">
        <v>0</v>
      </c>
      <c r="O319">
        <v>6</v>
      </c>
      <c r="P319">
        <v>6</v>
      </c>
      <c r="Q319">
        <v>3</v>
      </c>
      <c r="R319">
        <v>0</v>
      </c>
      <c r="S319">
        <v>2</v>
      </c>
      <c r="T319">
        <v>2</v>
      </c>
      <c r="U319">
        <v>2</v>
      </c>
      <c r="V319">
        <v>0</v>
      </c>
      <c r="X319" t="s">
        <v>178</v>
      </c>
    </row>
    <row r="320" spans="1:24" x14ac:dyDescent="0.3">
      <c r="A320" t="s">
        <v>22</v>
      </c>
      <c r="B320" t="s">
        <v>381</v>
      </c>
      <c r="C320" t="s">
        <v>439</v>
      </c>
      <c r="D320">
        <v>10</v>
      </c>
      <c r="E320" t="s">
        <v>308</v>
      </c>
      <c r="F320" t="s">
        <v>398</v>
      </c>
      <c r="I320" t="s">
        <v>443</v>
      </c>
      <c r="J320" t="s">
        <v>360</v>
      </c>
      <c r="L320">
        <v>30</v>
      </c>
      <c r="M320" t="s">
        <v>25</v>
      </c>
      <c r="N320">
        <v>0</v>
      </c>
      <c r="O320">
        <v>30</v>
      </c>
      <c r="P320">
        <v>30</v>
      </c>
      <c r="Q320">
        <v>3</v>
      </c>
      <c r="R320">
        <v>0</v>
      </c>
      <c r="S320">
        <v>10</v>
      </c>
      <c r="T320">
        <v>10</v>
      </c>
      <c r="U320">
        <v>10</v>
      </c>
      <c r="V320">
        <v>0</v>
      </c>
      <c r="X320" t="s">
        <v>74</v>
      </c>
    </row>
    <row r="321" spans="1:24" x14ac:dyDescent="0.3">
      <c r="A321" t="s">
        <v>22</v>
      </c>
      <c r="B321" t="s">
        <v>381</v>
      </c>
      <c r="C321" t="s">
        <v>439</v>
      </c>
      <c r="D321">
        <v>11</v>
      </c>
      <c r="E321" t="s">
        <v>444</v>
      </c>
      <c r="F321" t="s">
        <v>444</v>
      </c>
      <c r="I321" t="s">
        <v>445</v>
      </c>
      <c r="J321" t="s">
        <v>376</v>
      </c>
      <c r="L321">
        <v>10</v>
      </c>
      <c r="M321" t="s">
        <v>25</v>
      </c>
      <c r="N321">
        <v>0</v>
      </c>
      <c r="O321">
        <v>10</v>
      </c>
      <c r="P321">
        <v>10</v>
      </c>
      <c r="Q321">
        <v>1</v>
      </c>
      <c r="R321">
        <v>0</v>
      </c>
      <c r="S321">
        <v>10</v>
      </c>
      <c r="T321">
        <v>0</v>
      </c>
      <c r="U321">
        <v>0</v>
      </c>
      <c r="V321">
        <v>0</v>
      </c>
      <c r="W321" t="s">
        <v>446</v>
      </c>
      <c r="X321" t="s">
        <v>27</v>
      </c>
    </row>
    <row r="322" spans="1:24" x14ac:dyDescent="0.3">
      <c r="A322" t="s">
        <v>22</v>
      </c>
      <c r="B322" t="s">
        <v>381</v>
      </c>
      <c r="C322" t="s">
        <v>439</v>
      </c>
      <c r="D322">
        <v>12</v>
      </c>
      <c r="E322" t="s">
        <v>447</v>
      </c>
      <c r="F322" t="s">
        <v>447</v>
      </c>
      <c r="I322" t="s">
        <v>307</v>
      </c>
      <c r="J322" t="s">
        <v>236</v>
      </c>
      <c r="L322">
        <v>1</v>
      </c>
      <c r="M322" t="s">
        <v>25</v>
      </c>
      <c r="N322">
        <v>0</v>
      </c>
      <c r="O322">
        <v>1</v>
      </c>
      <c r="P322">
        <v>1</v>
      </c>
      <c r="Q322">
        <v>1</v>
      </c>
      <c r="R322">
        <v>1</v>
      </c>
      <c r="S322">
        <v>0</v>
      </c>
      <c r="T322">
        <v>0</v>
      </c>
      <c r="U322">
        <v>0</v>
      </c>
      <c r="V322">
        <v>0</v>
      </c>
      <c r="W322" t="s">
        <v>231</v>
      </c>
      <c r="X322" t="s">
        <v>27</v>
      </c>
    </row>
    <row r="323" spans="1:24" x14ac:dyDescent="0.3">
      <c r="A323" t="s">
        <v>22</v>
      </c>
      <c r="B323" t="s">
        <v>381</v>
      </c>
      <c r="C323" t="s">
        <v>439</v>
      </c>
      <c r="D323">
        <v>13</v>
      </c>
      <c r="E323" t="s">
        <v>448</v>
      </c>
      <c r="F323" t="s">
        <v>449</v>
      </c>
      <c r="I323" t="s">
        <v>385</v>
      </c>
      <c r="J323" t="s">
        <v>354</v>
      </c>
      <c r="L323">
        <v>15</v>
      </c>
      <c r="M323" t="s">
        <v>25</v>
      </c>
      <c r="N323">
        <v>0</v>
      </c>
      <c r="O323">
        <v>15</v>
      </c>
      <c r="P323">
        <v>15</v>
      </c>
      <c r="Q323">
        <v>3</v>
      </c>
      <c r="R323">
        <v>0</v>
      </c>
      <c r="S323">
        <v>5</v>
      </c>
      <c r="T323">
        <v>5</v>
      </c>
      <c r="U323">
        <v>5</v>
      </c>
      <c r="V323">
        <v>0</v>
      </c>
      <c r="X323" t="s">
        <v>27</v>
      </c>
    </row>
    <row r="324" spans="1:24" x14ac:dyDescent="0.3">
      <c r="A324" t="s">
        <v>22</v>
      </c>
      <c r="B324" t="s">
        <v>381</v>
      </c>
      <c r="C324" t="s">
        <v>450</v>
      </c>
      <c r="D324">
        <v>1</v>
      </c>
      <c r="E324" t="s">
        <v>451</v>
      </c>
      <c r="F324" t="s">
        <v>452</v>
      </c>
      <c r="I324" t="s">
        <v>453</v>
      </c>
      <c r="J324" t="s">
        <v>454</v>
      </c>
      <c r="L324">
        <v>25</v>
      </c>
      <c r="M324" t="s">
        <v>25</v>
      </c>
      <c r="N324">
        <v>0</v>
      </c>
      <c r="O324">
        <v>25</v>
      </c>
      <c r="P324">
        <v>25</v>
      </c>
      <c r="Q324">
        <v>3</v>
      </c>
      <c r="R324">
        <v>0</v>
      </c>
      <c r="S324">
        <v>8.33</v>
      </c>
      <c r="T324">
        <v>8.33</v>
      </c>
      <c r="U324">
        <v>8.34</v>
      </c>
      <c r="V324">
        <v>0</v>
      </c>
      <c r="W324" t="s">
        <v>717</v>
      </c>
      <c r="X324" t="s">
        <v>27</v>
      </c>
    </row>
    <row r="325" spans="1:24" x14ac:dyDescent="0.3">
      <c r="A325" t="s">
        <v>22</v>
      </c>
      <c r="B325" t="s">
        <v>381</v>
      </c>
      <c r="C325" t="s">
        <v>450</v>
      </c>
      <c r="D325">
        <v>2</v>
      </c>
      <c r="E325" t="s">
        <v>451</v>
      </c>
      <c r="F325" t="s">
        <v>31</v>
      </c>
      <c r="I325" t="s">
        <v>455</v>
      </c>
      <c r="J325" t="s">
        <v>24</v>
      </c>
      <c r="L325">
        <v>12</v>
      </c>
      <c r="M325" t="s">
        <v>25</v>
      </c>
      <c r="N325">
        <v>0</v>
      </c>
      <c r="O325">
        <v>12</v>
      </c>
      <c r="P325">
        <v>12</v>
      </c>
      <c r="Q325">
        <v>3</v>
      </c>
      <c r="R325">
        <v>0</v>
      </c>
      <c r="S325">
        <v>4</v>
      </c>
      <c r="T325">
        <v>4</v>
      </c>
      <c r="U325">
        <v>4</v>
      </c>
      <c r="V325">
        <v>0</v>
      </c>
      <c r="X325" t="s">
        <v>27</v>
      </c>
    </row>
    <row r="326" spans="1:24" x14ac:dyDescent="0.3">
      <c r="A326" t="s">
        <v>22</v>
      </c>
      <c r="B326" t="s">
        <v>381</v>
      </c>
      <c r="C326" t="s">
        <v>450</v>
      </c>
      <c r="D326">
        <v>3</v>
      </c>
      <c r="E326" t="s">
        <v>451</v>
      </c>
      <c r="F326" t="s">
        <v>456</v>
      </c>
      <c r="I326" t="s">
        <v>457</v>
      </c>
      <c r="J326" t="s">
        <v>24</v>
      </c>
      <c r="L326">
        <v>12</v>
      </c>
      <c r="M326" t="s">
        <v>25</v>
      </c>
      <c r="N326">
        <v>0</v>
      </c>
      <c r="O326">
        <v>12</v>
      </c>
      <c r="P326">
        <v>12</v>
      </c>
      <c r="Q326">
        <v>3</v>
      </c>
      <c r="R326">
        <v>0</v>
      </c>
      <c r="S326">
        <v>4</v>
      </c>
      <c r="T326">
        <v>4</v>
      </c>
      <c r="U326">
        <v>4</v>
      </c>
      <c r="V326">
        <v>0</v>
      </c>
      <c r="X326" t="s">
        <v>27</v>
      </c>
    </row>
    <row r="327" spans="1:24" x14ac:dyDescent="0.3">
      <c r="A327" t="s">
        <v>22</v>
      </c>
      <c r="B327" t="s">
        <v>381</v>
      </c>
      <c r="C327" t="s">
        <v>450</v>
      </c>
      <c r="D327">
        <v>4</v>
      </c>
      <c r="E327" t="s">
        <v>451</v>
      </c>
      <c r="F327" t="s">
        <v>292</v>
      </c>
      <c r="I327" t="s">
        <v>458</v>
      </c>
      <c r="J327" t="s">
        <v>24</v>
      </c>
      <c r="L327">
        <v>26</v>
      </c>
      <c r="M327" t="s">
        <v>25</v>
      </c>
      <c r="N327">
        <v>0</v>
      </c>
      <c r="O327">
        <v>26</v>
      </c>
      <c r="P327">
        <v>26</v>
      </c>
      <c r="Q327">
        <v>3</v>
      </c>
      <c r="R327">
        <v>0</v>
      </c>
      <c r="S327">
        <v>8.67</v>
      </c>
      <c r="T327">
        <v>8.67</v>
      </c>
      <c r="U327">
        <v>8.66</v>
      </c>
      <c r="V327">
        <v>0</v>
      </c>
      <c r="X327" t="s">
        <v>459</v>
      </c>
    </row>
    <row r="328" spans="1:24" x14ac:dyDescent="0.3">
      <c r="A328" t="s">
        <v>22</v>
      </c>
      <c r="B328" t="s">
        <v>381</v>
      </c>
      <c r="C328" t="s">
        <v>450</v>
      </c>
      <c r="D328">
        <v>5</v>
      </c>
      <c r="E328" t="s">
        <v>451</v>
      </c>
      <c r="F328" t="s">
        <v>460</v>
      </c>
      <c r="I328" t="s">
        <v>461</v>
      </c>
      <c r="J328" t="s">
        <v>24</v>
      </c>
      <c r="L328">
        <v>18</v>
      </c>
      <c r="M328" t="s">
        <v>25</v>
      </c>
      <c r="N328">
        <v>0</v>
      </c>
      <c r="O328">
        <v>18</v>
      </c>
      <c r="P328">
        <v>18</v>
      </c>
      <c r="Q328">
        <v>3</v>
      </c>
      <c r="R328">
        <v>0</v>
      </c>
      <c r="S328">
        <v>6</v>
      </c>
      <c r="T328">
        <v>6</v>
      </c>
      <c r="U328">
        <v>6</v>
      </c>
      <c r="V328">
        <v>0</v>
      </c>
      <c r="X328" t="s">
        <v>462</v>
      </c>
    </row>
    <row r="329" spans="1:24" x14ac:dyDescent="0.3">
      <c r="A329" t="s">
        <v>22</v>
      </c>
      <c r="B329" t="s">
        <v>381</v>
      </c>
      <c r="C329" t="s">
        <v>450</v>
      </c>
      <c r="D329">
        <v>6</v>
      </c>
      <c r="E329" t="s">
        <v>451</v>
      </c>
      <c r="F329" t="s">
        <v>463</v>
      </c>
      <c r="I329" t="s">
        <v>464</v>
      </c>
      <c r="J329" t="s">
        <v>24</v>
      </c>
      <c r="L329">
        <v>12</v>
      </c>
      <c r="M329" t="s">
        <v>25</v>
      </c>
      <c r="N329">
        <v>0</v>
      </c>
      <c r="O329">
        <v>12.1</v>
      </c>
      <c r="P329">
        <v>12.1</v>
      </c>
      <c r="Q329">
        <v>3</v>
      </c>
      <c r="R329">
        <v>0</v>
      </c>
      <c r="S329">
        <v>4</v>
      </c>
      <c r="T329">
        <v>4</v>
      </c>
      <c r="U329">
        <v>4</v>
      </c>
      <c r="V329">
        <v>0</v>
      </c>
      <c r="X329" t="s">
        <v>462</v>
      </c>
    </row>
    <row r="330" spans="1:24" x14ac:dyDescent="0.3">
      <c r="A330" t="s">
        <v>22</v>
      </c>
      <c r="B330" t="s">
        <v>381</v>
      </c>
      <c r="C330" t="s">
        <v>450</v>
      </c>
      <c r="D330">
        <v>7</v>
      </c>
      <c r="E330" t="s">
        <v>451</v>
      </c>
      <c r="F330" t="s">
        <v>237</v>
      </c>
      <c r="I330" t="s">
        <v>465</v>
      </c>
      <c r="J330" t="s">
        <v>24</v>
      </c>
      <c r="L330">
        <v>3</v>
      </c>
      <c r="M330" t="s">
        <v>25</v>
      </c>
      <c r="N330">
        <v>0</v>
      </c>
      <c r="O330">
        <v>3.01</v>
      </c>
      <c r="P330">
        <v>3.01</v>
      </c>
      <c r="Q330">
        <v>3</v>
      </c>
      <c r="R330">
        <v>0</v>
      </c>
      <c r="S330">
        <v>1</v>
      </c>
      <c r="T330">
        <v>1</v>
      </c>
      <c r="U330">
        <v>1</v>
      </c>
      <c r="V330">
        <v>0</v>
      </c>
      <c r="X330" t="s">
        <v>27</v>
      </c>
    </row>
    <row r="331" spans="1:24" x14ac:dyDescent="0.3">
      <c r="A331" t="s">
        <v>22</v>
      </c>
      <c r="B331" t="s">
        <v>381</v>
      </c>
      <c r="C331" t="s">
        <v>450</v>
      </c>
      <c r="D331">
        <v>8</v>
      </c>
      <c r="E331" t="s">
        <v>466</v>
      </c>
      <c r="F331" t="s">
        <v>467</v>
      </c>
      <c r="I331" t="s">
        <v>468</v>
      </c>
      <c r="J331" t="s">
        <v>469</v>
      </c>
      <c r="L331">
        <v>572</v>
      </c>
      <c r="M331" t="s">
        <v>62</v>
      </c>
      <c r="N331">
        <v>26</v>
      </c>
      <c r="O331">
        <v>546</v>
      </c>
      <c r="P331">
        <v>572</v>
      </c>
      <c r="Q331">
        <v>3</v>
      </c>
      <c r="R331">
        <v>0</v>
      </c>
      <c r="S331">
        <v>190.67</v>
      </c>
      <c r="T331">
        <v>190.67</v>
      </c>
      <c r="U331">
        <v>190.66</v>
      </c>
      <c r="V331">
        <v>0</v>
      </c>
      <c r="W331" t="s">
        <v>724</v>
      </c>
      <c r="X331" t="s">
        <v>27</v>
      </c>
    </row>
    <row r="332" spans="1:24" x14ac:dyDescent="0.3">
      <c r="A332" t="s">
        <v>22</v>
      </c>
      <c r="B332" t="s">
        <v>381</v>
      </c>
      <c r="C332" t="s">
        <v>450</v>
      </c>
      <c r="D332">
        <v>9</v>
      </c>
      <c r="E332" t="s">
        <v>466</v>
      </c>
      <c r="F332" t="s">
        <v>470</v>
      </c>
      <c r="I332" t="s">
        <v>471</v>
      </c>
      <c r="J332" t="s">
        <v>24</v>
      </c>
      <c r="L332">
        <v>100</v>
      </c>
      <c r="M332" t="s">
        <v>25</v>
      </c>
      <c r="N332">
        <v>0</v>
      </c>
      <c r="O332">
        <v>100</v>
      </c>
      <c r="P332">
        <v>100</v>
      </c>
      <c r="Q332">
        <v>3</v>
      </c>
      <c r="R332">
        <v>0</v>
      </c>
      <c r="S332">
        <v>33.33</v>
      </c>
      <c r="T332">
        <v>33.33</v>
      </c>
      <c r="U332">
        <v>33.340000000000003</v>
      </c>
      <c r="V332">
        <v>0</v>
      </c>
      <c r="X332" t="s">
        <v>462</v>
      </c>
    </row>
    <row r="333" spans="1:24" x14ac:dyDescent="0.3">
      <c r="A333" t="s">
        <v>22</v>
      </c>
      <c r="B333" t="s">
        <v>381</v>
      </c>
      <c r="C333" t="s">
        <v>450</v>
      </c>
      <c r="D333">
        <v>10</v>
      </c>
      <c r="E333" t="s">
        <v>466</v>
      </c>
      <c r="F333" t="s">
        <v>472</v>
      </c>
      <c r="I333" t="s">
        <v>473</v>
      </c>
      <c r="J333" t="s">
        <v>24</v>
      </c>
      <c r="L333">
        <v>25</v>
      </c>
      <c r="M333" t="s">
        <v>25</v>
      </c>
      <c r="N333">
        <v>0</v>
      </c>
      <c r="O333">
        <v>25</v>
      </c>
      <c r="P333">
        <v>25</v>
      </c>
      <c r="Q333">
        <v>3</v>
      </c>
      <c r="R333">
        <v>0</v>
      </c>
      <c r="S333">
        <v>8.33</v>
      </c>
      <c r="T333">
        <v>8.33</v>
      </c>
      <c r="U333">
        <v>8.34</v>
      </c>
      <c r="V333">
        <v>0</v>
      </c>
      <c r="X333" t="s">
        <v>459</v>
      </c>
    </row>
    <row r="334" spans="1:24" x14ac:dyDescent="0.3">
      <c r="A334" t="s">
        <v>22</v>
      </c>
      <c r="B334" t="s">
        <v>381</v>
      </c>
      <c r="C334" t="s">
        <v>450</v>
      </c>
      <c r="D334">
        <v>11</v>
      </c>
      <c r="E334" t="s">
        <v>466</v>
      </c>
      <c r="F334" t="s">
        <v>474</v>
      </c>
      <c r="I334" t="s">
        <v>475</v>
      </c>
      <c r="J334" t="s">
        <v>24</v>
      </c>
      <c r="L334">
        <v>230</v>
      </c>
      <c r="M334" t="s">
        <v>25</v>
      </c>
      <c r="N334">
        <v>0</v>
      </c>
      <c r="O334">
        <v>230</v>
      </c>
      <c r="P334">
        <v>230</v>
      </c>
      <c r="Q334">
        <v>3</v>
      </c>
      <c r="R334">
        <v>0</v>
      </c>
      <c r="S334">
        <v>76.67</v>
      </c>
      <c r="T334">
        <v>76.67</v>
      </c>
      <c r="U334">
        <v>76.66</v>
      </c>
      <c r="V334">
        <v>0</v>
      </c>
      <c r="X334" t="s">
        <v>459</v>
      </c>
    </row>
    <row r="335" spans="1:24" x14ac:dyDescent="0.3">
      <c r="A335" t="s">
        <v>22</v>
      </c>
      <c r="B335" t="s">
        <v>381</v>
      </c>
      <c r="C335" t="s">
        <v>450</v>
      </c>
      <c r="D335">
        <v>12</v>
      </c>
      <c r="E335" t="s">
        <v>466</v>
      </c>
      <c r="F335" t="s">
        <v>476</v>
      </c>
      <c r="I335" t="s">
        <v>477</v>
      </c>
      <c r="J335" t="s">
        <v>24</v>
      </c>
      <c r="L335">
        <v>25</v>
      </c>
      <c r="M335" t="s">
        <v>25</v>
      </c>
      <c r="N335">
        <v>0</v>
      </c>
      <c r="O335">
        <v>25</v>
      </c>
      <c r="P335">
        <v>25</v>
      </c>
      <c r="Q335">
        <v>3</v>
      </c>
      <c r="R335">
        <v>0</v>
      </c>
      <c r="S335">
        <v>8.33</v>
      </c>
      <c r="T335">
        <v>8.33</v>
      </c>
      <c r="U335">
        <v>8.34</v>
      </c>
      <c r="V335">
        <v>0</v>
      </c>
      <c r="X335" t="s">
        <v>27</v>
      </c>
    </row>
    <row r="336" spans="1:24" x14ac:dyDescent="0.3">
      <c r="A336" t="s">
        <v>22</v>
      </c>
      <c r="B336" t="s">
        <v>381</v>
      </c>
      <c r="C336" t="s">
        <v>450</v>
      </c>
      <c r="D336">
        <v>13</v>
      </c>
      <c r="E336" t="s">
        <v>478</v>
      </c>
      <c r="F336" t="s">
        <v>31</v>
      </c>
      <c r="I336" t="s">
        <v>479</v>
      </c>
      <c r="J336" t="s">
        <v>480</v>
      </c>
      <c r="L336">
        <v>4</v>
      </c>
      <c r="M336" t="s">
        <v>25</v>
      </c>
      <c r="N336">
        <v>0</v>
      </c>
      <c r="O336">
        <v>4</v>
      </c>
      <c r="P336">
        <v>4</v>
      </c>
      <c r="Q336">
        <v>3</v>
      </c>
      <c r="R336">
        <v>0</v>
      </c>
      <c r="S336">
        <v>1.33</v>
      </c>
      <c r="T336">
        <v>1.33</v>
      </c>
      <c r="U336">
        <v>1.34</v>
      </c>
      <c r="V336">
        <v>0</v>
      </c>
      <c r="W336" t="s">
        <v>723</v>
      </c>
      <c r="X336" t="s">
        <v>27</v>
      </c>
    </row>
    <row r="337" spans="1:24" x14ac:dyDescent="0.3">
      <c r="A337" t="s">
        <v>22</v>
      </c>
      <c r="B337" t="s">
        <v>381</v>
      </c>
      <c r="C337" t="s">
        <v>450</v>
      </c>
      <c r="D337">
        <v>14</v>
      </c>
      <c r="E337" t="s">
        <v>478</v>
      </c>
      <c r="F337" t="s">
        <v>292</v>
      </c>
      <c r="I337" t="s">
        <v>481</v>
      </c>
      <c r="J337" t="s">
        <v>24</v>
      </c>
      <c r="L337">
        <v>4</v>
      </c>
      <c r="M337" t="s">
        <v>25</v>
      </c>
      <c r="N337">
        <v>0</v>
      </c>
      <c r="O337">
        <v>4</v>
      </c>
      <c r="P337">
        <v>4</v>
      </c>
      <c r="Q337">
        <v>3</v>
      </c>
      <c r="R337">
        <v>0</v>
      </c>
      <c r="S337">
        <v>1.33</v>
      </c>
      <c r="T337">
        <v>1.33</v>
      </c>
      <c r="U337">
        <v>1.34</v>
      </c>
      <c r="V337">
        <v>0</v>
      </c>
      <c r="X337" t="s">
        <v>459</v>
      </c>
    </row>
    <row r="338" spans="1:24" x14ac:dyDescent="0.3">
      <c r="A338" t="s">
        <v>22</v>
      </c>
      <c r="B338" t="s">
        <v>381</v>
      </c>
      <c r="C338" t="s">
        <v>450</v>
      </c>
      <c r="D338">
        <v>15</v>
      </c>
      <c r="E338" t="s">
        <v>478</v>
      </c>
      <c r="F338" t="s">
        <v>482</v>
      </c>
      <c r="J338" t="s">
        <v>24</v>
      </c>
      <c r="L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 t="s">
        <v>51</v>
      </c>
      <c r="X338" t="s">
        <v>27</v>
      </c>
    </row>
    <row r="339" spans="1:24" x14ac:dyDescent="0.3">
      <c r="A339" t="s">
        <v>22</v>
      </c>
      <c r="B339" t="s">
        <v>381</v>
      </c>
      <c r="C339" t="s">
        <v>450</v>
      </c>
      <c r="D339">
        <v>16</v>
      </c>
      <c r="E339" t="s">
        <v>478</v>
      </c>
      <c r="F339" t="s">
        <v>483</v>
      </c>
      <c r="J339" t="s">
        <v>24</v>
      </c>
      <c r="L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 t="s">
        <v>51</v>
      </c>
      <c r="X339" t="s">
        <v>459</v>
      </c>
    </row>
    <row r="340" spans="1:24" x14ac:dyDescent="0.3">
      <c r="A340" t="s">
        <v>22</v>
      </c>
      <c r="B340" t="s">
        <v>381</v>
      </c>
      <c r="C340" t="s">
        <v>450</v>
      </c>
      <c r="D340">
        <v>17</v>
      </c>
      <c r="E340" t="s">
        <v>478</v>
      </c>
      <c r="F340" t="s">
        <v>484</v>
      </c>
      <c r="J340" t="s">
        <v>24</v>
      </c>
      <c r="L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 t="s">
        <v>51</v>
      </c>
      <c r="X340" t="s">
        <v>27</v>
      </c>
    </row>
    <row r="341" spans="1:24" x14ac:dyDescent="0.3">
      <c r="A341" t="s">
        <v>22</v>
      </c>
      <c r="B341" t="s">
        <v>381</v>
      </c>
      <c r="C341" t="s">
        <v>450</v>
      </c>
      <c r="D341">
        <v>18</v>
      </c>
      <c r="E341" t="s">
        <v>485</v>
      </c>
      <c r="F341" t="s">
        <v>467</v>
      </c>
      <c r="I341" t="s">
        <v>486</v>
      </c>
      <c r="J341" t="s">
        <v>487</v>
      </c>
      <c r="L341">
        <v>248</v>
      </c>
      <c r="M341" t="s">
        <v>62</v>
      </c>
      <c r="N341">
        <v>224</v>
      </c>
      <c r="O341">
        <v>24</v>
      </c>
      <c r="P341">
        <v>248</v>
      </c>
      <c r="Q341">
        <v>3</v>
      </c>
      <c r="R341">
        <v>0</v>
      </c>
      <c r="S341">
        <v>82.67</v>
      </c>
      <c r="T341">
        <v>82.67</v>
      </c>
      <c r="U341">
        <v>82.66</v>
      </c>
      <c r="V341">
        <v>0</v>
      </c>
      <c r="W341" t="s">
        <v>722</v>
      </c>
      <c r="X341" t="s">
        <v>27</v>
      </c>
    </row>
    <row r="342" spans="1:24" x14ac:dyDescent="0.3">
      <c r="A342" t="s">
        <v>22</v>
      </c>
      <c r="B342" t="s">
        <v>381</v>
      </c>
      <c r="C342" t="s">
        <v>450</v>
      </c>
      <c r="D342">
        <v>19</v>
      </c>
      <c r="E342" t="s">
        <v>485</v>
      </c>
      <c r="F342" t="s">
        <v>488</v>
      </c>
      <c r="I342" t="s">
        <v>489</v>
      </c>
      <c r="J342" t="s">
        <v>24</v>
      </c>
      <c r="L342">
        <v>160</v>
      </c>
      <c r="M342" t="s">
        <v>62</v>
      </c>
      <c r="N342">
        <v>145</v>
      </c>
      <c r="O342">
        <v>15</v>
      </c>
      <c r="P342">
        <v>160</v>
      </c>
      <c r="Q342">
        <v>3</v>
      </c>
      <c r="R342">
        <v>0</v>
      </c>
      <c r="S342">
        <v>53.33</v>
      </c>
      <c r="T342">
        <v>53.33</v>
      </c>
      <c r="U342">
        <v>53.34</v>
      </c>
      <c r="V342">
        <v>0</v>
      </c>
      <c r="X342" t="s">
        <v>459</v>
      </c>
    </row>
    <row r="343" spans="1:24" x14ac:dyDescent="0.3">
      <c r="A343" t="s">
        <v>22</v>
      </c>
      <c r="B343" t="s">
        <v>381</v>
      </c>
      <c r="C343" t="s">
        <v>450</v>
      </c>
      <c r="D343">
        <v>20</v>
      </c>
      <c r="E343" t="s">
        <v>485</v>
      </c>
      <c r="F343" t="s">
        <v>490</v>
      </c>
      <c r="I343" t="s">
        <v>718</v>
      </c>
      <c r="J343" t="s">
        <v>24</v>
      </c>
      <c r="L343">
        <v>7</v>
      </c>
      <c r="M343" t="s">
        <v>25</v>
      </c>
      <c r="N343">
        <v>0</v>
      </c>
      <c r="O343">
        <v>7</v>
      </c>
      <c r="P343">
        <v>7</v>
      </c>
      <c r="Q343">
        <v>3</v>
      </c>
      <c r="R343">
        <v>0</v>
      </c>
      <c r="S343">
        <v>2.33</v>
      </c>
      <c r="T343">
        <v>2.33</v>
      </c>
      <c r="U343">
        <v>2.34</v>
      </c>
      <c r="V343">
        <v>0</v>
      </c>
      <c r="X343" t="s">
        <v>462</v>
      </c>
    </row>
    <row r="344" spans="1:24" x14ac:dyDescent="0.3">
      <c r="A344" t="s">
        <v>22</v>
      </c>
      <c r="B344" t="s">
        <v>381</v>
      </c>
      <c r="C344" t="s">
        <v>450</v>
      </c>
      <c r="D344">
        <v>21</v>
      </c>
      <c r="E344" t="s">
        <v>491</v>
      </c>
      <c r="F344" t="s">
        <v>492</v>
      </c>
      <c r="G344">
        <v>5</v>
      </c>
      <c r="I344" t="s">
        <v>493</v>
      </c>
      <c r="J344" t="s">
        <v>454</v>
      </c>
      <c r="L344">
        <v>6</v>
      </c>
      <c r="M344" t="s">
        <v>25</v>
      </c>
      <c r="N344">
        <v>0</v>
      </c>
      <c r="O344">
        <v>6</v>
      </c>
      <c r="P344">
        <v>6</v>
      </c>
      <c r="Q344">
        <v>3</v>
      </c>
      <c r="R344">
        <v>0</v>
      </c>
      <c r="S344">
        <v>2</v>
      </c>
      <c r="T344">
        <v>2</v>
      </c>
      <c r="U344">
        <v>2</v>
      </c>
      <c r="V344">
        <v>0</v>
      </c>
      <c r="W344" t="s">
        <v>494</v>
      </c>
      <c r="X344" t="s">
        <v>27</v>
      </c>
    </row>
    <row r="345" spans="1:24" x14ac:dyDescent="0.3">
      <c r="A345" t="s">
        <v>22</v>
      </c>
      <c r="B345" t="s">
        <v>381</v>
      </c>
      <c r="C345" t="s">
        <v>450</v>
      </c>
      <c r="D345">
        <v>22</v>
      </c>
      <c r="E345" t="s">
        <v>491</v>
      </c>
      <c r="F345" t="s">
        <v>292</v>
      </c>
      <c r="I345" t="s">
        <v>495</v>
      </c>
      <c r="J345" t="s">
        <v>24</v>
      </c>
      <c r="L345">
        <v>30</v>
      </c>
      <c r="M345" t="s">
        <v>25</v>
      </c>
      <c r="N345">
        <v>0</v>
      </c>
      <c r="O345">
        <v>30</v>
      </c>
      <c r="P345">
        <v>30</v>
      </c>
      <c r="Q345">
        <v>3</v>
      </c>
      <c r="R345">
        <v>0</v>
      </c>
      <c r="S345">
        <v>10</v>
      </c>
      <c r="T345">
        <v>10</v>
      </c>
      <c r="U345">
        <v>10</v>
      </c>
      <c r="V345">
        <v>0</v>
      </c>
      <c r="X345" t="s">
        <v>459</v>
      </c>
    </row>
    <row r="346" spans="1:24" x14ac:dyDescent="0.3">
      <c r="A346" t="s">
        <v>22</v>
      </c>
      <c r="B346" t="s">
        <v>381</v>
      </c>
      <c r="C346" t="s">
        <v>450</v>
      </c>
      <c r="D346">
        <v>23</v>
      </c>
      <c r="E346" t="s">
        <v>491</v>
      </c>
      <c r="F346" t="s">
        <v>496</v>
      </c>
      <c r="I346" t="s">
        <v>497</v>
      </c>
      <c r="J346" t="s">
        <v>498</v>
      </c>
      <c r="L346">
        <v>137</v>
      </c>
      <c r="M346" t="s">
        <v>62</v>
      </c>
      <c r="N346">
        <v>22</v>
      </c>
      <c r="O346">
        <v>115</v>
      </c>
      <c r="P346">
        <v>137</v>
      </c>
      <c r="Q346">
        <v>3</v>
      </c>
      <c r="R346">
        <v>0</v>
      </c>
      <c r="S346">
        <v>45.67</v>
      </c>
      <c r="T346">
        <v>45.67</v>
      </c>
      <c r="U346">
        <v>45.66</v>
      </c>
      <c r="V346">
        <v>0</v>
      </c>
      <c r="W346" t="s">
        <v>499</v>
      </c>
      <c r="X346" t="s">
        <v>27</v>
      </c>
    </row>
    <row r="347" spans="1:24" x14ac:dyDescent="0.3">
      <c r="A347" t="s">
        <v>22</v>
      </c>
      <c r="B347" t="s">
        <v>381</v>
      </c>
      <c r="C347" t="s">
        <v>450</v>
      </c>
      <c r="D347">
        <v>24</v>
      </c>
      <c r="E347" t="s">
        <v>491</v>
      </c>
      <c r="F347" t="s">
        <v>500</v>
      </c>
      <c r="I347" t="s">
        <v>501</v>
      </c>
      <c r="J347" t="s">
        <v>24</v>
      </c>
      <c r="L347">
        <v>36</v>
      </c>
      <c r="M347" t="s">
        <v>62</v>
      </c>
      <c r="N347">
        <v>10</v>
      </c>
      <c r="O347">
        <v>26</v>
      </c>
      <c r="P347">
        <v>36</v>
      </c>
      <c r="Q347">
        <v>3</v>
      </c>
      <c r="R347">
        <v>0</v>
      </c>
      <c r="S347">
        <v>12</v>
      </c>
      <c r="T347">
        <v>12</v>
      </c>
      <c r="U347">
        <v>12</v>
      </c>
      <c r="V347">
        <v>0</v>
      </c>
      <c r="X347" t="s">
        <v>459</v>
      </c>
    </row>
    <row r="348" spans="1:24" x14ac:dyDescent="0.3">
      <c r="A348" t="s">
        <v>22</v>
      </c>
      <c r="B348" t="s">
        <v>381</v>
      </c>
      <c r="C348" t="s">
        <v>450</v>
      </c>
      <c r="D348">
        <v>25</v>
      </c>
      <c r="E348" t="s">
        <v>491</v>
      </c>
      <c r="F348" t="s">
        <v>502</v>
      </c>
      <c r="I348" t="s">
        <v>503</v>
      </c>
      <c r="J348" t="s">
        <v>504</v>
      </c>
      <c r="L348">
        <v>91</v>
      </c>
      <c r="M348" t="s">
        <v>25</v>
      </c>
      <c r="N348">
        <v>0</v>
      </c>
      <c r="O348">
        <v>91</v>
      </c>
      <c r="P348">
        <v>91</v>
      </c>
      <c r="Q348">
        <v>3</v>
      </c>
      <c r="R348">
        <v>0</v>
      </c>
      <c r="S348">
        <v>30.33</v>
      </c>
      <c r="T348">
        <v>30.33</v>
      </c>
      <c r="U348">
        <v>30.34</v>
      </c>
      <c r="V348">
        <v>0</v>
      </c>
      <c r="W348" t="s">
        <v>721</v>
      </c>
      <c r="X348" t="s">
        <v>459</v>
      </c>
    </row>
    <row r="349" spans="1:24" x14ac:dyDescent="0.3">
      <c r="A349" t="s">
        <v>22</v>
      </c>
      <c r="B349" t="s">
        <v>381</v>
      </c>
      <c r="C349" t="s">
        <v>450</v>
      </c>
      <c r="D349">
        <v>26</v>
      </c>
      <c r="E349" t="s">
        <v>491</v>
      </c>
      <c r="F349" t="s">
        <v>505</v>
      </c>
      <c r="I349" t="s">
        <v>506</v>
      </c>
      <c r="J349" t="s">
        <v>24</v>
      </c>
      <c r="L349">
        <v>6</v>
      </c>
      <c r="M349" t="s">
        <v>25</v>
      </c>
      <c r="N349">
        <v>0</v>
      </c>
      <c r="O349">
        <v>6</v>
      </c>
      <c r="P349">
        <v>6</v>
      </c>
      <c r="Q349">
        <v>3</v>
      </c>
      <c r="R349">
        <v>0</v>
      </c>
      <c r="S349">
        <v>2</v>
      </c>
      <c r="T349">
        <v>2</v>
      </c>
      <c r="U349">
        <v>2</v>
      </c>
      <c r="V349">
        <v>0</v>
      </c>
      <c r="X349" t="s">
        <v>27</v>
      </c>
    </row>
    <row r="350" spans="1:24" x14ac:dyDescent="0.3">
      <c r="A350" t="s">
        <v>22</v>
      </c>
      <c r="B350" t="s">
        <v>381</v>
      </c>
      <c r="C350" t="s">
        <v>450</v>
      </c>
      <c r="D350">
        <v>27</v>
      </c>
      <c r="E350" t="s">
        <v>491</v>
      </c>
      <c r="F350" t="s">
        <v>507</v>
      </c>
      <c r="I350" t="s">
        <v>508</v>
      </c>
      <c r="J350" t="s">
        <v>214</v>
      </c>
      <c r="L350">
        <v>6</v>
      </c>
      <c r="M350" t="s">
        <v>25</v>
      </c>
      <c r="N350">
        <v>0</v>
      </c>
      <c r="O350">
        <v>6</v>
      </c>
      <c r="P350">
        <v>6</v>
      </c>
      <c r="Q350">
        <v>3</v>
      </c>
      <c r="R350">
        <v>0</v>
      </c>
      <c r="S350">
        <v>2</v>
      </c>
      <c r="T350">
        <v>2</v>
      </c>
      <c r="U350">
        <v>2</v>
      </c>
      <c r="V350">
        <v>0</v>
      </c>
      <c r="X350" t="s">
        <v>462</v>
      </c>
    </row>
    <row r="351" spans="1:24" x14ac:dyDescent="0.3">
      <c r="A351" t="s">
        <v>22</v>
      </c>
      <c r="B351" t="s">
        <v>381</v>
      </c>
      <c r="C351" t="s">
        <v>450</v>
      </c>
      <c r="D351">
        <v>28</v>
      </c>
      <c r="E351" t="s">
        <v>491</v>
      </c>
      <c r="F351" t="s">
        <v>237</v>
      </c>
      <c r="I351" t="s">
        <v>509</v>
      </c>
      <c r="J351" t="s">
        <v>227</v>
      </c>
      <c r="L351">
        <v>3</v>
      </c>
      <c r="M351" t="s">
        <v>25</v>
      </c>
      <c r="N351">
        <v>0</v>
      </c>
      <c r="O351">
        <v>3</v>
      </c>
      <c r="P351">
        <v>3</v>
      </c>
      <c r="Q351">
        <v>3</v>
      </c>
      <c r="R351">
        <v>0</v>
      </c>
      <c r="S351">
        <v>1</v>
      </c>
      <c r="T351">
        <v>1</v>
      </c>
      <c r="U351">
        <v>1</v>
      </c>
      <c r="V351">
        <v>0</v>
      </c>
      <c r="X351" t="s">
        <v>27</v>
      </c>
    </row>
    <row r="352" spans="1:24" x14ac:dyDescent="0.3">
      <c r="A352" t="s">
        <v>22</v>
      </c>
      <c r="B352" t="s">
        <v>381</v>
      </c>
      <c r="C352" t="s">
        <v>450</v>
      </c>
      <c r="D352">
        <v>29</v>
      </c>
      <c r="E352" t="s">
        <v>491</v>
      </c>
      <c r="F352" t="s">
        <v>510</v>
      </c>
      <c r="I352" t="s">
        <v>511</v>
      </c>
      <c r="J352" t="s">
        <v>227</v>
      </c>
      <c r="L352">
        <v>3</v>
      </c>
      <c r="M352" t="s">
        <v>25</v>
      </c>
      <c r="N352">
        <v>0</v>
      </c>
      <c r="O352">
        <v>3</v>
      </c>
      <c r="P352">
        <v>3</v>
      </c>
      <c r="Q352">
        <v>3</v>
      </c>
      <c r="R352">
        <v>0</v>
      </c>
      <c r="S352">
        <v>1</v>
      </c>
      <c r="T352">
        <v>1</v>
      </c>
      <c r="U352">
        <v>1</v>
      </c>
      <c r="V352">
        <v>0</v>
      </c>
      <c r="X352" t="s">
        <v>462</v>
      </c>
    </row>
    <row r="353" spans="1:24" x14ac:dyDescent="0.3">
      <c r="A353" t="s">
        <v>22</v>
      </c>
      <c r="B353" t="s">
        <v>381</v>
      </c>
      <c r="C353" t="s">
        <v>450</v>
      </c>
      <c r="D353">
        <v>30</v>
      </c>
      <c r="E353" t="s">
        <v>491</v>
      </c>
      <c r="F353" t="s">
        <v>512</v>
      </c>
      <c r="I353" t="s">
        <v>513</v>
      </c>
      <c r="J353" t="s">
        <v>323</v>
      </c>
      <c r="L353">
        <v>5</v>
      </c>
      <c r="M353" t="s">
        <v>25</v>
      </c>
      <c r="N353">
        <v>0</v>
      </c>
      <c r="O353">
        <v>5</v>
      </c>
      <c r="P353">
        <v>5</v>
      </c>
      <c r="Q353">
        <v>3</v>
      </c>
      <c r="R353">
        <v>0</v>
      </c>
      <c r="S353">
        <v>1.67</v>
      </c>
      <c r="T353">
        <v>1.67</v>
      </c>
      <c r="U353">
        <v>1.66</v>
      </c>
      <c r="V353">
        <v>0</v>
      </c>
      <c r="W353" t="s">
        <v>514</v>
      </c>
      <c r="X353" t="s">
        <v>459</v>
      </c>
    </row>
    <row r="354" spans="1:24" x14ac:dyDescent="0.3">
      <c r="A354" t="s">
        <v>22</v>
      </c>
      <c r="B354" t="s">
        <v>381</v>
      </c>
      <c r="C354" t="s">
        <v>450</v>
      </c>
      <c r="D354">
        <v>31</v>
      </c>
      <c r="E354" t="s">
        <v>491</v>
      </c>
      <c r="F354" t="s">
        <v>515</v>
      </c>
      <c r="I354" t="s">
        <v>516</v>
      </c>
      <c r="J354" t="s">
        <v>214</v>
      </c>
      <c r="L354">
        <v>6</v>
      </c>
      <c r="M354" t="s">
        <v>25</v>
      </c>
      <c r="N354">
        <v>0</v>
      </c>
      <c r="O354">
        <v>6</v>
      </c>
      <c r="P354">
        <v>6</v>
      </c>
      <c r="Q354">
        <v>3</v>
      </c>
      <c r="R354">
        <v>0</v>
      </c>
      <c r="S354">
        <v>2</v>
      </c>
      <c r="T354">
        <v>2</v>
      </c>
      <c r="U354">
        <v>2</v>
      </c>
      <c r="V354">
        <v>0</v>
      </c>
      <c r="X354" t="s">
        <v>462</v>
      </c>
    </row>
    <row r="355" spans="1:24" x14ac:dyDescent="0.3">
      <c r="A355" t="s">
        <v>22</v>
      </c>
      <c r="B355" t="s">
        <v>381</v>
      </c>
      <c r="C355" t="s">
        <v>450</v>
      </c>
      <c r="D355">
        <v>32</v>
      </c>
      <c r="E355" t="s">
        <v>517</v>
      </c>
      <c r="F355" t="s">
        <v>467</v>
      </c>
      <c r="I355" t="s">
        <v>486</v>
      </c>
      <c r="J355" t="s">
        <v>480</v>
      </c>
      <c r="L355">
        <v>234</v>
      </c>
      <c r="M355" t="s">
        <v>62</v>
      </c>
      <c r="N355">
        <v>100</v>
      </c>
      <c r="O355">
        <v>134</v>
      </c>
      <c r="P355">
        <v>234</v>
      </c>
      <c r="Q355">
        <v>3</v>
      </c>
      <c r="R355">
        <v>0</v>
      </c>
      <c r="S355">
        <v>78</v>
      </c>
      <c r="T355">
        <v>78</v>
      </c>
      <c r="U355">
        <v>78</v>
      </c>
      <c r="V355">
        <v>0</v>
      </c>
      <c r="W355" t="s">
        <v>720</v>
      </c>
      <c r="X355" t="s">
        <v>27</v>
      </c>
    </row>
    <row r="356" spans="1:24" x14ac:dyDescent="0.3">
      <c r="A356" t="s">
        <v>22</v>
      </c>
      <c r="B356" t="s">
        <v>381</v>
      </c>
      <c r="C356" t="s">
        <v>450</v>
      </c>
      <c r="D356">
        <v>33</v>
      </c>
      <c r="E356" t="s">
        <v>517</v>
      </c>
      <c r="F356" t="s">
        <v>518</v>
      </c>
      <c r="I356" t="s">
        <v>519</v>
      </c>
      <c r="J356" t="s">
        <v>24</v>
      </c>
      <c r="L356">
        <v>173</v>
      </c>
      <c r="M356" t="s">
        <v>62</v>
      </c>
      <c r="N356">
        <v>25</v>
      </c>
      <c r="O356">
        <v>148</v>
      </c>
      <c r="P356">
        <v>173</v>
      </c>
      <c r="Q356">
        <v>3</v>
      </c>
      <c r="R356">
        <v>0</v>
      </c>
      <c r="S356">
        <v>57.67</v>
      </c>
      <c r="T356">
        <v>57.67</v>
      </c>
      <c r="U356">
        <v>57.66</v>
      </c>
      <c r="V356">
        <v>0</v>
      </c>
      <c r="X356" t="s">
        <v>459</v>
      </c>
    </row>
    <row r="357" spans="1:24" x14ac:dyDescent="0.3">
      <c r="A357" t="s">
        <v>22</v>
      </c>
      <c r="B357" t="s">
        <v>381</v>
      </c>
      <c r="C357" t="s">
        <v>450</v>
      </c>
      <c r="D357">
        <v>34</v>
      </c>
      <c r="E357" t="s">
        <v>517</v>
      </c>
      <c r="F357" t="s">
        <v>520</v>
      </c>
      <c r="I357" t="s">
        <v>521</v>
      </c>
      <c r="J357" t="s">
        <v>24</v>
      </c>
      <c r="L357">
        <v>37</v>
      </c>
      <c r="M357" t="s">
        <v>25</v>
      </c>
      <c r="N357">
        <v>0</v>
      </c>
      <c r="O357">
        <v>37</v>
      </c>
      <c r="P357">
        <v>37</v>
      </c>
      <c r="Q357">
        <v>3</v>
      </c>
      <c r="R357">
        <v>0</v>
      </c>
      <c r="S357">
        <v>12.33</v>
      </c>
      <c r="T357">
        <v>12.33</v>
      </c>
      <c r="U357">
        <v>12.34</v>
      </c>
      <c r="V357">
        <v>0</v>
      </c>
      <c r="W357" t="s">
        <v>369</v>
      </c>
      <c r="X357" t="s">
        <v>27</v>
      </c>
    </row>
    <row r="358" spans="1:24" x14ac:dyDescent="0.3">
      <c r="A358" t="s">
        <v>22</v>
      </c>
      <c r="B358" t="s">
        <v>381</v>
      </c>
      <c r="C358" t="s">
        <v>450</v>
      </c>
      <c r="D358">
        <v>35</v>
      </c>
      <c r="E358" t="s">
        <v>517</v>
      </c>
      <c r="F358" t="s">
        <v>522</v>
      </c>
      <c r="I358" t="s">
        <v>523</v>
      </c>
      <c r="J358" t="s">
        <v>24</v>
      </c>
      <c r="L358">
        <v>45</v>
      </c>
      <c r="M358" t="s">
        <v>25</v>
      </c>
      <c r="N358">
        <v>0</v>
      </c>
      <c r="O358">
        <v>45</v>
      </c>
      <c r="P358">
        <v>45</v>
      </c>
      <c r="Q358">
        <v>3</v>
      </c>
      <c r="R358">
        <v>0</v>
      </c>
      <c r="S358">
        <v>15</v>
      </c>
      <c r="T358">
        <v>15</v>
      </c>
      <c r="U358">
        <v>15</v>
      </c>
      <c r="V358">
        <v>0</v>
      </c>
      <c r="X358" t="s">
        <v>459</v>
      </c>
    </row>
    <row r="359" spans="1:24" x14ac:dyDescent="0.3">
      <c r="A359" t="s">
        <v>22</v>
      </c>
      <c r="B359" t="s">
        <v>381</v>
      </c>
      <c r="C359" t="s">
        <v>450</v>
      </c>
      <c r="D359">
        <v>36</v>
      </c>
      <c r="E359" t="s">
        <v>517</v>
      </c>
      <c r="F359" t="s">
        <v>524</v>
      </c>
      <c r="I359" t="s">
        <v>525</v>
      </c>
      <c r="J359" t="s">
        <v>24</v>
      </c>
      <c r="L359">
        <v>89</v>
      </c>
      <c r="M359" t="s">
        <v>25</v>
      </c>
      <c r="N359">
        <v>0</v>
      </c>
      <c r="O359">
        <v>89</v>
      </c>
      <c r="P359">
        <v>89</v>
      </c>
      <c r="Q359">
        <v>3</v>
      </c>
      <c r="R359">
        <v>0</v>
      </c>
      <c r="S359">
        <v>29.67</v>
      </c>
      <c r="T359">
        <v>29.67</v>
      </c>
      <c r="U359">
        <v>29.66</v>
      </c>
      <c r="V359">
        <v>0</v>
      </c>
      <c r="X359" t="s">
        <v>27</v>
      </c>
    </row>
    <row r="360" spans="1:24" x14ac:dyDescent="0.3">
      <c r="A360" t="s">
        <v>22</v>
      </c>
      <c r="B360" t="s">
        <v>381</v>
      </c>
      <c r="C360" t="s">
        <v>450</v>
      </c>
      <c r="D360">
        <v>37</v>
      </c>
      <c r="E360" t="s">
        <v>517</v>
      </c>
      <c r="F360" t="s">
        <v>526</v>
      </c>
      <c r="I360" t="s">
        <v>527</v>
      </c>
      <c r="J360" t="s">
        <v>24</v>
      </c>
      <c r="L360">
        <v>64</v>
      </c>
      <c r="M360" t="s">
        <v>25</v>
      </c>
      <c r="N360">
        <v>0</v>
      </c>
      <c r="O360">
        <v>64</v>
      </c>
      <c r="P360">
        <v>64</v>
      </c>
      <c r="Q360">
        <v>3</v>
      </c>
      <c r="R360">
        <v>0</v>
      </c>
      <c r="S360">
        <v>21.33</v>
      </c>
      <c r="T360">
        <v>21.33</v>
      </c>
      <c r="U360">
        <v>21.34</v>
      </c>
      <c r="V360">
        <v>0</v>
      </c>
      <c r="X360" t="s">
        <v>459</v>
      </c>
    </row>
    <row r="361" spans="1:24" x14ac:dyDescent="0.3">
      <c r="A361" t="s">
        <v>22</v>
      </c>
      <c r="B361" t="s">
        <v>381</v>
      </c>
      <c r="C361" t="s">
        <v>450</v>
      </c>
      <c r="D361">
        <v>38</v>
      </c>
      <c r="E361" t="s">
        <v>517</v>
      </c>
      <c r="F361" t="s">
        <v>528</v>
      </c>
      <c r="I361" t="s">
        <v>529</v>
      </c>
      <c r="J361" t="s">
        <v>24</v>
      </c>
      <c r="L361">
        <v>25</v>
      </c>
      <c r="M361" t="s">
        <v>25</v>
      </c>
      <c r="N361">
        <v>0</v>
      </c>
      <c r="O361">
        <v>25</v>
      </c>
      <c r="P361">
        <v>25</v>
      </c>
      <c r="Q361">
        <v>3</v>
      </c>
      <c r="R361">
        <v>0</v>
      </c>
      <c r="S361">
        <v>8.33</v>
      </c>
      <c r="T361">
        <v>8.33</v>
      </c>
      <c r="U361">
        <v>8.34</v>
      </c>
      <c r="V361">
        <v>0</v>
      </c>
      <c r="X361" t="s">
        <v>27</v>
      </c>
    </row>
    <row r="362" spans="1:24" x14ac:dyDescent="0.3">
      <c r="A362" t="s">
        <v>22</v>
      </c>
      <c r="B362" t="s">
        <v>381</v>
      </c>
      <c r="C362" t="s">
        <v>450</v>
      </c>
      <c r="D362">
        <v>39</v>
      </c>
      <c r="E362" t="s">
        <v>517</v>
      </c>
      <c r="F362" t="s">
        <v>530</v>
      </c>
      <c r="I362" t="s">
        <v>531</v>
      </c>
      <c r="J362" t="s">
        <v>532</v>
      </c>
      <c r="L362">
        <v>20</v>
      </c>
      <c r="M362" t="s">
        <v>25</v>
      </c>
      <c r="N362">
        <v>0</v>
      </c>
      <c r="O362">
        <v>20</v>
      </c>
      <c r="P362">
        <v>20</v>
      </c>
      <c r="Q362">
        <v>3</v>
      </c>
      <c r="R362">
        <v>0</v>
      </c>
      <c r="S362">
        <v>6.67</v>
      </c>
      <c r="T362">
        <v>6.67</v>
      </c>
      <c r="U362">
        <v>6.66</v>
      </c>
      <c r="V362">
        <v>0</v>
      </c>
      <c r="W362" t="s">
        <v>533</v>
      </c>
      <c r="X362" t="s">
        <v>459</v>
      </c>
    </row>
    <row r="363" spans="1:24" x14ac:dyDescent="0.3">
      <c r="A363" t="s">
        <v>22</v>
      </c>
      <c r="B363" t="s">
        <v>381</v>
      </c>
      <c r="C363" t="s">
        <v>450</v>
      </c>
      <c r="D363">
        <v>40</v>
      </c>
      <c r="E363" t="s">
        <v>517</v>
      </c>
      <c r="F363" t="s">
        <v>534</v>
      </c>
      <c r="I363" t="s">
        <v>535</v>
      </c>
      <c r="J363" t="s">
        <v>536</v>
      </c>
      <c r="L363">
        <v>94</v>
      </c>
      <c r="M363" t="s">
        <v>25</v>
      </c>
      <c r="N363">
        <v>0</v>
      </c>
      <c r="O363">
        <v>94</v>
      </c>
      <c r="P363">
        <v>94</v>
      </c>
      <c r="Q363">
        <v>3</v>
      </c>
      <c r="R363">
        <v>0</v>
      </c>
      <c r="S363">
        <v>31.33</v>
      </c>
      <c r="T363">
        <v>31.33</v>
      </c>
      <c r="U363">
        <v>31.34</v>
      </c>
      <c r="V363">
        <v>0</v>
      </c>
      <c r="W363" t="s">
        <v>537</v>
      </c>
      <c r="X363" t="s">
        <v>459</v>
      </c>
    </row>
    <row r="364" spans="1:24" x14ac:dyDescent="0.3">
      <c r="A364" t="s">
        <v>22</v>
      </c>
      <c r="B364" t="s">
        <v>381</v>
      </c>
      <c r="C364" t="s">
        <v>450</v>
      </c>
      <c r="D364">
        <v>41</v>
      </c>
      <c r="E364" t="s">
        <v>538</v>
      </c>
      <c r="F364" t="s">
        <v>467</v>
      </c>
      <c r="I364" t="s">
        <v>539</v>
      </c>
      <c r="J364" t="s">
        <v>540</v>
      </c>
      <c r="L364">
        <v>20</v>
      </c>
      <c r="M364" t="s">
        <v>115</v>
      </c>
      <c r="N364">
        <v>20</v>
      </c>
      <c r="O364">
        <v>0</v>
      </c>
      <c r="P364">
        <v>20</v>
      </c>
      <c r="Q364">
        <v>3</v>
      </c>
      <c r="R364">
        <v>0</v>
      </c>
      <c r="S364">
        <v>6.67</v>
      </c>
      <c r="T364">
        <v>6.67</v>
      </c>
      <c r="U364">
        <v>6.66</v>
      </c>
      <c r="V364">
        <v>0</v>
      </c>
      <c r="W364" t="s">
        <v>719</v>
      </c>
      <c r="X364" t="s">
        <v>27</v>
      </c>
    </row>
    <row r="365" spans="1:24" x14ac:dyDescent="0.3">
      <c r="A365" t="s">
        <v>22</v>
      </c>
      <c r="B365" t="s">
        <v>381</v>
      </c>
      <c r="C365" t="s">
        <v>450</v>
      </c>
      <c r="D365">
        <v>42</v>
      </c>
      <c r="E365" t="s">
        <v>538</v>
      </c>
      <c r="F365" t="s">
        <v>518</v>
      </c>
      <c r="I365" t="s">
        <v>541</v>
      </c>
      <c r="J365" t="s">
        <v>24</v>
      </c>
      <c r="L365">
        <v>10</v>
      </c>
      <c r="M365" t="s">
        <v>115</v>
      </c>
      <c r="N365">
        <v>10</v>
      </c>
      <c r="O365">
        <v>0</v>
      </c>
      <c r="P365">
        <v>10</v>
      </c>
      <c r="Q365">
        <v>3</v>
      </c>
      <c r="R365">
        <v>0</v>
      </c>
      <c r="S365">
        <v>3.33</v>
      </c>
      <c r="T365">
        <v>3.33</v>
      </c>
      <c r="U365">
        <v>3.34</v>
      </c>
      <c r="V365">
        <v>0</v>
      </c>
      <c r="X365" t="s">
        <v>459</v>
      </c>
    </row>
    <row r="366" spans="1:24" x14ac:dyDescent="0.3">
      <c r="A366" t="s">
        <v>22</v>
      </c>
      <c r="B366" t="s">
        <v>381</v>
      </c>
      <c r="C366" t="s">
        <v>450</v>
      </c>
      <c r="D366">
        <v>43</v>
      </c>
      <c r="E366" t="s">
        <v>538</v>
      </c>
      <c r="F366" t="s">
        <v>542</v>
      </c>
      <c r="I366" t="s">
        <v>543</v>
      </c>
      <c r="J366" t="s">
        <v>24</v>
      </c>
      <c r="L366">
        <v>9</v>
      </c>
      <c r="M366" t="s">
        <v>115</v>
      </c>
      <c r="N366">
        <v>9</v>
      </c>
      <c r="O366">
        <v>0</v>
      </c>
      <c r="P366">
        <v>9</v>
      </c>
      <c r="Q366">
        <v>3</v>
      </c>
      <c r="R366">
        <v>0</v>
      </c>
      <c r="S366">
        <v>3</v>
      </c>
      <c r="T366">
        <v>3</v>
      </c>
      <c r="U366">
        <v>3</v>
      </c>
      <c r="V366">
        <v>0</v>
      </c>
      <c r="W366" t="s">
        <v>369</v>
      </c>
      <c r="X366" t="s">
        <v>27</v>
      </c>
    </row>
    <row r="367" spans="1:24" x14ac:dyDescent="0.3">
      <c r="A367" t="s">
        <v>22</v>
      </c>
      <c r="B367" t="s">
        <v>381</v>
      </c>
      <c r="C367" t="s">
        <v>450</v>
      </c>
      <c r="D367">
        <v>44</v>
      </c>
      <c r="E367" t="s">
        <v>544</v>
      </c>
      <c r="F367" t="s">
        <v>545</v>
      </c>
      <c r="I367" t="s">
        <v>546</v>
      </c>
      <c r="J367" t="s">
        <v>547</v>
      </c>
      <c r="L367">
        <v>81</v>
      </c>
      <c r="M367" t="s">
        <v>25</v>
      </c>
      <c r="N367">
        <v>0</v>
      </c>
      <c r="O367">
        <v>81</v>
      </c>
      <c r="P367">
        <v>81</v>
      </c>
      <c r="Q367">
        <v>3</v>
      </c>
      <c r="R367">
        <v>0</v>
      </c>
      <c r="S367">
        <v>27</v>
      </c>
      <c r="T367">
        <v>27</v>
      </c>
      <c r="U367">
        <v>27</v>
      </c>
      <c r="V367">
        <v>0</v>
      </c>
      <c r="X367" t="s">
        <v>459</v>
      </c>
    </row>
    <row r="368" spans="1:24" x14ac:dyDescent="0.3">
      <c r="A368" t="s">
        <v>22</v>
      </c>
      <c r="B368" t="s">
        <v>381</v>
      </c>
      <c r="C368" t="s">
        <v>450</v>
      </c>
      <c r="D368">
        <v>45</v>
      </c>
      <c r="E368" t="s">
        <v>544</v>
      </c>
      <c r="F368" t="s">
        <v>484</v>
      </c>
      <c r="I368" t="s">
        <v>548</v>
      </c>
      <c r="J368" t="s">
        <v>354</v>
      </c>
      <c r="L368">
        <v>15</v>
      </c>
      <c r="M368" t="s">
        <v>25</v>
      </c>
      <c r="N368">
        <v>0</v>
      </c>
      <c r="O368">
        <v>15</v>
      </c>
      <c r="P368">
        <v>15</v>
      </c>
      <c r="Q368">
        <v>3</v>
      </c>
      <c r="R368">
        <v>0</v>
      </c>
      <c r="S368">
        <v>5</v>
      </c>
      <c r="T368">
        <v>5</v>
      </c>
      <c r="U368">
        <v>5</v>
      </c>
      <c r="V368">
        <v>0</v>
      </c>
      <c r="X368" t="s">
        <v>27</v>
      </c>
    </row>
    <row r="369" spans="1:24" x14ac:dyDescent="0.3">
      <c r="A369" t="s">
        <v>22</v>
      </c>
      <c r="B369" t="s">
        <v>381</v>
      </c>
      <c r="C369" t="s">
        <v>450</v>
      </c>
      <c r="D369">
        <v>46</v>
      </c>
      <c r="E369" t="s">
        <v>544</v>
      </c>
      <c r="F369" t="s">
        <v>549</v>
      </c>
      <c r="I369" t="s">
        <v>550</v>
      </c>
      <c r="J369" t="s">
        <v>551</v>
      </c>
      <c r="L369">
        <v>21</v>
      </c>
      <c r="M369" t="s">
        <v>25</v>
      </c>
      <c r="N369">
        <v>0</v>
      </c>
      <c r="O369">
        <v>21</v>
      </c>
      <c r="P369">
        <v>21</v>
      </c>
      <c r="Q369">
        <v>3</v>
      </c>
      <c r="R369">
        <v>0</v>
      </c>
      <c r="S369">
        <v>7</v>
      </c>
      <c r="T369">
        <v>7</v>
      </c>
      <c r="U369">
        <v>7</v>
      </c>
      <c r="V369">
        <v>0</v>
      </c>
      <c r="X369" t="s">
        <v>459</v>
      </c>
    </row>
    <row r="370" spans="1:24" x14ac:dyDescent="0.3">
      <c r="A370" t="s">
        <v>22</v>
      </c>
      <c r="B370" t="s">
        <v>381</v>
      </c>
      <c r="C370" t="s">
        <v>450</v>
      </c>
      <c r="D370">
        <v>47</v>
      </c>
      <c r="E370" t="s">
        <v>544</v>
      </c>
      <c r="F370" t="s">
        <v>237</v>
      </c>
      <c r="I370" t="s">
        <v>552</v>
      </c>
      <c r="J370" t="s">
        <v>214</v>
      </c>
      <c r="L370">
        <v>6</v>
      </c>
      <c r="M370" t="s">
        <v>25</v>
      </c>
      <c r="N370">
        <v>0</v>
      </c>
      <c r="O370">
        <v>6</v>
      </c>
      <c r="P370">
        <v>6</v>
      </c>
      <c r="Q370">
        <v>3</v>
      </c>
      <c r="R370">
        <v>0</v>
      </c>
      <c r="S370">
        <v>2</v>
      </c>
      <c r="T370">
        <v>2</v>
      </c>
      <c r="U370">
        <v>2</v>
      </c>
      <c r="V370">
        <v>0</v>
      </c>
      <c r="X370" t="s">
        <v>27</v>
      </c>
    </row>
    <row r="371" spans="1:24" x14ac:dyDescent="0.3">
      <c r="A371" t="s">
        <v>22</v>
      </c>
      <c r="B371" t="s">
        <v>381</v>
      </c>
      <c r="C371" t="s">
        <v>450</v>
      </c>
      <c r="D371">
        <v>48</v>
      </c>
      <c r="E371" t="s">
        <v>553</v>
      </c>
      <c r="F371" t="s">
        <v>467</v>
      </c>
      <c r="I371" t="s">
        <v>554</v>
      </c>
      <c r="J371" t="s">
        <v>24</v>
      </c>
      <c r="L371">
        <v>100</v>
      </c>
      <c r="M371" t="s">
        <v>115</v>
      </c>
      <c r="N371">
        <v>100</v>
      </c>
      <c r="O371">
        <v>0</v>
      </c>
      <c r="P371">
        <v>100</v>
      </c>
      <c r="Q371">
        <v>3</v>
      </c>
      <c r="R371">
        <v>0</v>
      </c>
      <c r="S371">
        <v>33.33</v>
      </c>
      <c r="T371">
        <v>33.33</v>
      </c>
      <c r="U371">
        <v>33.340000000000003</v>
      </c>
      <c r="V371">
        <v>0</v>
      </c>
      <c r="X371" t="s">
        <v>27</v>
      </c>
    </row>
    <row r="372" spans="1:24" x14ac:dyDescent="0.3">
      <c r="A372" t="s">
        <v>22</v>
      </c>
      <c r="B372" t="s">
        <v>381</v>
      </c>
      <c r="C372" t="s">
        <v>450</v>
      </c>
      <c r="D372">
        <v>49</v>
      </c>
      <c r="E372" t="s">
        <v>553</v>
      </c>
      <c r="F372" t="s">
        <v>555</v>
      </c>
      <c r="I372" t="s">
        <v>556</v>
      </c>
      <c r="J372" t="s">
        <v>24</v>
      </c>
      <c r="L372">
        <v>32</v>
      </c>
      <c r="M372" t="s">
        <v>115</v>
      </c>
      <c r="N372">
        <v>32</v>
      </c>
      <c r="O372">
        <v>0</v>
      </c>
      <c r="P372">
        <v>32</v>
      </c>
      <c r="Q372">
        <v>3</v>
      </c>
      <c r="R372">
        <v>0</v>
      </c>
      <c r="S372">
        <v>10.67</v>
      </c>
      <c r="T372">
        <v>10.67</v>
      </c>
      <c r="U372">
        <v>10.66</v>
      </c>
      <c r="V372">
        <v>0</v>
      </c>
      <c r="X372" t="s">
        <v>178</v>
      </c>
    </row>
    <row r="373" spans="1:24" x14ac:dyDescent="0.3">
      <c r="A373" t="s">
        <v>22</v>
      </c>
      <c r="B373" t="s">
        <v>381</v>
      </c>
      <c r="C373" t="s">
        <v>450</v>
      </c>
      <c r="D373">
        <v>50</v>
      </c>
      <c r="E373" t="s">
        <v>557</v>
      </c>
      <c r="F373" t="s">
        <v>496</v>
      </c>
      <c r="I373" t="s">
        <v>558</v>
      </c>
      <c r="J373" t="s">
        <v>559</v>
      </c>
      <c r="L373">
        <v>21</v>
      </c>
      <c r="M373" t="s">
        <v>25</v>
      </c>
      <c r="N373">
        <v>0</v>
      </c>
      <c r="O373">
        <v>21</v>
      </c>
      <c r="P373">
        <v>21</v>
      </c>
      <c r="Q373">
        <v>2</v>
      </c>
      <c r="R373">
        <v>0</v>
      </c>
      <c r="S373">
        <v>10.5</v>
      </c>
      <c r="T373">
        <v>10.5</v>
      </c>
      <c r="U373">
        <v>0</v>
      </c>
      <c r="V373">
        <v>0</v>
      </c>
      <c r="W373" t="s">
        <v>560</v>
      </c>
      <c r="X373" t="s">
        <v>27</v>
      </c>
    </row>
    <row r="374" spans="1:24" x14ac:dyDescent="0.3">
      <c r="A374" t="s">
        <v>22</v>
      </c>
      <c r="B374" t="s">
        <v>381</v>
      </c>
      <c r="C374" t="s">
        <v>450</v>
      </c>
      <c r="D374">
        <v>51</v>
      </c>
      <c r="E374" t="s">
        <v>557</v>
      </c>
      <c r="F374" t="s">
        <v>292</v>
      </c>
      <c r="I374" t="s">
        <v>561</v>
      </c>
      <c r="J374" t="s">
        <v>364</v>
      </c>
      <c r="L374">
        <v>7</v>
      </c>
      <c r="M374" t="s">
        <v>25</v>
      </c>
      <c r="N374">
        <v>0</v>
      </c>
      <c r="O374">
        <v>7</v>
      </c>
      <c r="P374">
        <v>7</v>
      </c>
      <c r="Q374">
        <v>2</v>
      </c>
      <c r="R374">
        <v>0</v>
      </c>
      <c r="S374">
        <v>3.5</v>
      </c>
      <c r="T374">
        <v>3.5</v>
      </c>
      <c r="U374">
        <v>0</v>
      </c>
      <c r="V374">
        <v>0</v>
      </c>
      <c r="W374" t="s">
        <v>365</v>
      </c>
      <c r="X374" t="s">
        <v>562</v>
      </c>
    </row>
    <row r="375" spans="1:24" x14ac:dyDescent="0.3">
      <c r="A375" t="s">
        <v>22</v>
      </c>
      <c r="B375" t="s">
        <v>381</v>
      </c>
      <c r="C375" t="s">
        <v>450</v>
      </c>
      <c r="D375">
        <v>52</v>
      </c>
      <c r="E375" t="s">
        <v>557</v>
      </c>
      <c r="F375" t="s">
        <v>55</v>
      </c>
      <c r="I375" t="s">
        <v>563</v>
      </c>
      <c r="J375" t="s">
        <v>305</v>
      </c>
      <c r="L375">
        <v>2</v>
      </c>
      <c r="M375" t="s">
        <v>25</v>
      </c>
      <c r="N375">
        <v>0</v>
      </c>
      <c r="O375">
        <v>2</v>
      </c>
      <c r="P375">
        <v>2</v>
      </c>
      <c r="Q375">
        <v>2</v>
      </c>
      <c r="R375">
        <v>0</v>
      </c>
      <c r="S375">
        <v>1</v>
      </c>
      <c r="T375">
        <v>1</v>
      </c>
      <c r="U375">
        <v>0</v>
      </c>
      <c r="V375">
        <v>0</v>
      </c>
      <c r="X375" t="s">
        <v>27</v>
      </c>
    </row>
    <row r="376" spans="1:24" x14ac:dyDescent="0.3">
      <c r="A376" t="s">
        <v>22</v>
      </c>
      <c r="B376" t="s">
        <v>381</v>
      </c>
      <c r="C376" t="s">
        <v>450</v>
      </c>
      <c r="D376">
        <v>53</v>
      </c>
      <c r="E376" t="s">
        <v>564</v>
      </c>
      <c r="F376" t="s">
        <v>237</v>
      </c>
      <c r="I376" t="s">
        <v>509</v>
      </c>
      <c r="J376" t="s">
        <v>227</v>
      </c>
      <c r="L376">
        <v>3</v>
      </c>
      <c r="M376" t="s">
        <v>25</v>
      </c>
      <c r="N376">
        <v>0</v>
      </c>
      <c r="O376">
        <v>3</v>
      </c>
      <c r="P376">
        <v>3</v>
      </c>
      <c r="Q376">
        <v>3</v>
      </c>
      <c r="R376">
        <v>0</v>
      </c>
      <c r="S376">
        <v>1</v>
      </c>
      <c r="T376">
        <v>1</v>
      </c>
      <c r="U376">
        <v>1</v>
      </c>
      <c r="V376">
        <v>0</v>
      </c>
      <c r="X376" t="s">
        <v>27</v>
      </c>
    </row>
    <row r="377" spans="1:24" x14ac:dyDescent="0.3">
      <c r="A377" t="s">
        <v>22</v>
      </c>
      <c r="B377" t="s">
        <v>381</v>
      </c>
      <c r="C377" t="s">
        <v>450</v>
      </c>
      <c r="D377">
        <v>54</v>
      </c>
      <c r="E377" t="s">
        <v>564</v>
      </c>
      <c r="F377" t="s">
        <v>565</v>
      </c>
      <c r="I377" t="s">
        <v>566</v>
      </c>
      <c r="J377" t="s">
        <v>227</v>
      </c>
      <c r="L377">
        <v>3</v>
      </c>
      <c r="M377" t="s">
        <v>25</v>
      </c>
      <c r="N377">
        <v>0</v>
      </c>
      <c r="O377">
        <v>3</v>
      </c>
      <c r="P377">
        <v>3</v>
      </c>
      <c r="Q377">
        <v>3</v>
      </c>
      <c r="R377">
        <v>0</v>
      </c>
      <c r="S377">
        <v>1</v>
      </c>
      <c r="T377">
        <v>1</v>
      </c>
      <c r="U377">
        <v>1</v>
      </c>
      <c r="V377">
        <v>0</v>
      </c>
      <c r="X377" t="s">
        <v>462</v>
      </c>
    </row>
    <row r="378" spans="1:24" x14ac:dyDescent="0.3">
      <c r="A378" t="s">
        <v>22</v>
      </c>
      <c r="B378" t="s">
        <v>381</v>
      </c>
      <c r="C378" t="s">
        <v>450</v>
      </c>
      <c r="D378">
        <v>55</v>
      </c>
      <c r="E378" t="s">
        <v>567</v>
      </c>
      <c r="F378" t="s">
        <v>55</v>
      </c>
      <c r="I378" t="s">
        <v>568</v>
      </c>
      <c r="J378" t="s">
        <v>569</v>
      </c>
      <c r="L378">
        <v>8</v>
      </c>
      <c r="M378" t="s">
        <v>25</v>
      </c>
      <c r="N378">
        <v>0</v>
      </c>
      <c r="O378">
        <v>8</v>
      </c>
      <c r="P378">
        <v>8</v>
      </c>
      <c r="Q378">
        <v>2</v>
      </c>
      <c r="R378">
        <v>0</v>
      </c>
      <c r="S378">
        <v>4</v>
      </c>
      <c r="T378">
        <v>4</v>
      </c>
      <c r="U378">
        <v>0</v>
      </c>
      <c r="V378">
        <v>0</v>
      </c>
      <c r="X378" t="s">
        <v>27</v>
      </c>
    </row>
    <row r="379" spans="1:24" x14ac:dyDescent="0.3">
      <c r="A379" t="s">
        <v>22</v>
      </c>
      <c r="B379" t="s">
        <v>381</v>
      </c>
      <c r="C379" t="s">
        <v>450</v>
      </c>
      <c r="D379">
        <v>56</v>
      </c>
      <c r="E379" t="s">
        <v>570</v>
      </c>
      <c r="F379" t="s">
        <v>571</v>
      </c>
      <c r="I379" t="s">
        <v>572</v>
      </c>
      <c r="J379" t="s">
        <v>573</v>
      </c>
      <c r="L379">
        <v>338</v>
      </c>
      <c r="M379" t="s">
        <v>25</v>
      </c>
      <c r="N379">
        <v>0</v>
      </c>
      <c r="O379">
        <v>338</v>
      </c>
      <c r="P379">
        <v>338</v>
      </c>
      <c r="Q379">
        <v>3</v>
      </c>
      <c r="R379">
        <v>0</v>
      </c>
      <c r="S379">
        <v>112.67</v>
      </c>
      <c r="T379">
        <v>112.67</v>
      </c>
      <c r="U379">
        <v>112.66</v>
      </c>
      <c r="V379">
        <v>0</v>
      </c>
      <c r="W379" t="s">
        <v>574</v>
      </c>
      <c r="X379" t="s">
        <v>27</v>
      </c>
    </row>
    <row r="380" spans="1:24" x14ac:dyDescent="0.3">
      <c r="A380" t="s">
        <v>22</v>
      </c>
      <c r="B380" t="s">
        <v>381</v>
      </c>
      <c r="C380" t="s">
        <v>450</v>
      </c>
      <c r="D380">
        <v>57</v>
      </c>
      <c r="E380" t="s">
        <v>575</v>
      </c>
      <c r="F380" t="s">
        <v>576</v>
      </c>
      <c r="I380" t="s">
        <v>577</v>
      </c>
      <c r="J380" t="s">
        <v>290</v>
      </c>
      <c r="L380">
        <v>18</v>
      </c>
      <c r="M380" t="s">
        <v>25</v>
      </c>
      <c r="N380">
        <v>0</v>
      </c>
      <c r="O380">
        <v>18</v>
      </c>
      <c r="P380">
        <v>18</v>
      </c>
      <c r="Q380">
        <v>3</v>
      </c>
      <c r="R380">
        <v>0</v>
      </c>
      <c r="S380">
        <v>6</v>
      </c>
      <c r="T380">
        <v>6</v>
      </c>
      <c r="U380">
        <v>6</v>
      </c>
      <c r="V380">
        <v>0</v>
      </c>
      <c r="X380" t="s">
        <v>462</v>
      </c>
    </row>
    <row r="381" spans="1:24" x14ac:dyDescent="0.3">
      <c r="A381" t="s">
        <v>22</v>
      </c>
      <c r="B381" t="s">
        <v>381</v>
      </c>
      <c r="C381" t="s">
        <v>450</v>
      </c>
      <c r="D381">
        <v>58</v>
      </c>
      <c r="E381" t="s">
        <v>575</v>
      </c>
      <c r="F381" t="s">
        <v>578</v>
      </c>
      <c r="I381" t="s">
        <v>568</v>
      </c>
      <c r="J381" t="s">
        <v>579</v>
      </c>
      <c r="L381">
        <v>13</v>
      </c>
      <c r="M381" t="s">
        <v>25</v>
      </c>
      <c r="N381">
        <v>0</v>
      </c>
      <c r="O381">
        <v>13</v>
      </c>
      <c r="P381">
        <v>13</v>
      </c>
      <c r="Q381">
        <v>3</v>
      </c>
      <c r="R381">
        <v>0</v>
      </c>
      <c r="S381">
        <v>4.33</v>
      </c>
      <c r="T381">
        <v>4.33</v>
      </c>
      <c r="U381">
        <v>4.34</v>
      </c>
      <c r="V381">
        <v>0</v>
      </c>
      <c r="W381" t="s">
        <v>580</v>
      </c>
      <c r="X381" t="s">
        <v>459</v>
      </c>
    </row>
    <row r="382" spans="1:24" x14ac:dyDescent="0.3">
      <c r="A382" t="s">
        <v>22</v>
      </c>
      <c r="B382" t="s">
        <v>381</v>
      </c>
      <c r="C382" t="s">
        <v>450</v>
      </c>
      <c r="D382">
        <v>59</v>
      </c>
      <c r="E382" t="s">
        <v>575</v>
      </c>
      <c r="F382" t="s">
        <v>55</v>
      </c>
      <c r="I382" t="s">
        <v>581</v>
      </c>
      <c r="J382" t="s">
        <v>227</v>
      </c>
      <c r="L382">
        <v>3</v>
      </c>
      <c r="M382" t="s">
        <v>25</v>
      </c>
      <c r="N382">
        <v>0</v>
      </c>
      <c r="O382">
        <v>3</v>
      </c>
      <c r="P382">
        <v>3</v>
      </c>
      <c r="Q382">
        <v>3</v>
      </c>
      <c r="R382">
        <v>0</v>
      </c>
      <c r="S382">
        <v>1</v>
      </c>
      <c r="T382">
        <v>1</v>
      </c>
      <c r="U382">
        <v>1</v>
      </c>
      <c r="V382">
        <v>0</v>
      </c>
      <c r="X382" t="s">
        <v>27</v>
      </c>
    </row>
    <row r="383" spans="1:24" x14ac:dyDescent="0.3">
      <c r="A383" t="s">
        <v>22</v>
      </c>
      <c r="B383" t="s">
        <v>381</v>
      </c>
      <c r="C383" t="s">
        <v>450</v>
      </c>
      <c r="D383">
        <v>60</v>
      </c>
      <c r="E383" t="s">
        <v>575</v>
      </c>
      <c r="F383" t="s">
        <v>582</v>
      </c>
      <c r="I383" t="s">
        <v>583</v>
      </c>
      <c r="J383" t="s">
        <v>584</v>
      </c>
      <c r="L383">
        <v>33</v>
      </c>
      <c r="M383" t="s">
        <v>25</v>
      </c>
      <c r="N383">
        <v>0</v>
      </c>
      <c r="O383">
        <v>33</v>
      </c>
      <c r="P383">
        <v>33</v>
      </c>
      <c r="Q383">
        <v>3</v>
      </c>
      <c r="R383">
        <v>0</v>
      </c>
      <c r="S383">
        <v>11</v>
      </c>
      <c r="T383">
        <v>11</v>
      </c>
      <c r="U383">
        <v>11</v>
      </c>
      <c r="V383">
        <v>0</v>
      </c>
      <c r="X383" t="s">
        <v>459</v>
      </c>
    </row>
    <row r="384" spans="1:24" x14ac:dyDescent="0.3">
      <c r="A384" t="s">
        <v>22</v>
      </c>
      <c r="B384" t="s">
        <v>381</v>
      </c>
      <c r="C384" t="s">
        <v>450</v>
      </c>
      <c r="D384">
        <v>61</v>
      </c>
      <c r="E384" t="s">
        <v>575</v>
      </c>
      <c r="F384" t="s">
        <v>237</v>
      </c>
      <c r="I384" t="s">
        <v>585</v>
      </c>
      <c r="J384" t="s">
        <v>227</v>
      </c>
      <c r="L384">
        <v>3</v>
      </c>
      <c r="M384" t="s">
        <v>25</v>
      </c>
      <c r="N384">
        <v>0</v>
      </c>
      <c r="O384">
        <v>3</v>
      </c>
      <c r="P384">
        <v>3</v>
      </c>
      <c r="Q384">
        <v>3</v>
      </c>
      <c r="R384">
        <v>0</v>
      </c>
      <c r="S384">
        <v>1</v>
      </c>
      <c r="T384">
        <v>1</v>
      </c>
      <c r="U384">
        <v>1</v>
      </c>
      <c r="V384">
        <v>0</v>
      </c>
      <c r="X384" t="s">
        <v>27</v>
      </c>
    </row>
    <row r="385" spans="1:16" x14ac:dyDescent="0.3">
      <c r="A385" t="s">
        <v>22</v>
      </c>
      <c r="B385" t="s">
        <v>381</v>
      </c>
      <c r="C385" t="s">
        <v>646</v>
      </c>
      <c r="D385">
        <v>1</v>
      </c>
      <c r="E385" t="s">
        <v>646</v>
      </c>
      <c r="L385">
        <v>54</v>
      </c>
      <c r="N385">
        <v>47</v>
      </c>
      <c r="O385">
        <v>7</v>
      </c>
      <c r="P385">
        <v>54</v>
      </c>
    </row>
    <row r="386" spans="1:16" x14ac:dyDescent="0.3">
      <c r="A386" t="s">
        <v>22</v>
      </c>
      <c r="B386" t="s">
        <v>381</v>
      </c>
      <c r="C386" t="s">
        <v>647</v>
      </c>
      <c r="D386">
        <v>1</v>
      </c>
      <c r="E386" t="s">
        <v>647</v>
      </c>
      <c r="L386">
        <v>50</v>
      </c>
      <c r="N386">
        <v>21</v>
      </c>
      <c r="O386">
        <v>29</v>
      </c>
      <c r="P386">
        <v>50</v>
      </c>
    </row>
    <row r="387" spans="1:16" x14ac:dyDescent="0.3">
      <c r="A387" t="s">
        <v>22</v>
      </c>
      <c r="B387" t="s">
        <v>381</v>
      </c>
      <c r="C387" t="s">
        <v>648</v>
      </c>
      <c r="D387">
        <v>1</v>
      </c>
      <c r="E387" t="s">
        <v>648</v>
      </c>
      <c r="L387">
        <v>4</v>
      </c>
      <c r="N387">
        <v>0</v>
      </c>
      <c r="O387">
        <v>4</v>
      </c>
      <c r="P387">
        <v>4</v>
      </c>
    </row>
    <row r="388" spans="1:16" x14ac:dyDescent="0.3">
      <c r="A388" t="s">
        <v>22</v>
      </c>
      <c r="B388" t="s">
        <v>381</v>
      </c>
      <c r="C388" t="s">
        <v>649</v>
      </c>
      <c r="D388">
        <v>1</v>
      </c>
      <c r="E388" t="s">
        <v>649</v>
      </c>
      <c r="L388">
        <v>61</v>
      </c>
      <c r="N388">
        <v>19</v>
      </c>
      <c r="O388">
        <v>42</v>
      </c>
      <c r="P388">
        <v>61</v>
      </c>
    </row>
    <row r="389" spans="1:16" x14ac:dyDescent="0.3">
      <c r="A389" t="s">
        <v>22</v>
      </c>
      <c r="B389" t="s">
        <v>381</v>
      </c>
      <c r="C389" t="s">
        <v>650</v>
      </c>
      <c r="D389">
        <v>1</v>
      </c>
      <c r="E389" t="s">
        <v>650</v>
      </c>
      <c r="L389">
        <v>56</v>
      </c>
      <c r="N389">
        <v>20</v>
      </c>
      <c r="O389">
        <v>36</v>
      </c>
      <c r="P389">
        <v>56</v>
      </c>
    </row>
    <row r="390" spans="1:16" x14ac:dyDescent="0.3">
      <c r="A390" t="s">
        <v>22</v>
      </c>
      <c r="B390" t="s">
        <v>381</v>
      </c>
      <c r="C390" t="s">
        <v>651</v>
      </c>
      <c r="D390">
        <v>1</v>
      </c>
      <c r="E390" t="s">
        <v>651</v>
      </c>
      <c r="L390">
        <v>35</v>
      </c>
      <c r="N390">
        <v>0</v>
      </c>
      <c r="O390">
        <v>35</v>
      </c>
      <c r="P390">
        <v>35</v>
      </c>
    </row>
    <row r="391" spans="1:16" x14ac:dyDescent="0.3">
      <c r="A391" t="s">
        <v>22</v>
      </c>
      <c r="B391" t="s">
        <v>381</v>
      </c>
      <c r="C391" t="s">
        <v>652</v>
      </c>
      <c r="D391">
        <v>1</v>
      </c>
      <c r="E391" t="s">
        <v>652</v>
      </c>
      <c r="L391">
        <v>29</v>
      </c>
      <c r="N391">
        <v>0</v>
      </c>
      <c r="O391">
        <v>29</v>
      </c>
      <c r="P391">
        <v>29</v>
      </c>
    </row>
    <row r="392" spans="1:16" x14ac:dyDescent="0.3">
      <c r="A392" t="s">
        <v>22</v>
      </c>
      <c r="B392" t="s">
        <v>381</v>
      </c>
      <c r="C392" t="s">
        <v>654</v>
      </c>
      <c r="D392">
        <v>1</v>
      </c>
      <c r="E392" t="s">
        <v>653</v>
      </c>
      <c r="L392">
        <v>135</v>
      </c>
      <c r="N392">
        <v>70</v>
      </c>
      <c r="O392">
        <v>65</v>
      </c>
      <c r="P392">
        <v>135</v>
      </c>
    </row>
    <row r="393" spans="1:16" x14ac:dyDescent="0.3">
      <c r="A393" t="s">
        <v>22</v>
      </c>
      <c r="B393" t="s">
        <v>655</v>
      </c>
      <c r="C393" t="s">
        <v>655</v>
      </c>
      <c r="D393">
        <v>1</v>
      </c>
      <c r="E393" t="s">
        <v>656</v>
      </c>
      <c r="F393" t="s">
        <v>656</v>
      </c>
      <c r="L393">
        <v>339</v>
      </c>
      <c r="N393">
        <v>35</v>
      </c>
      <c r="O393">
        <v>304</v>
      </c>
      <c r="P393">
        <v>339</v>
      </c>
    </row>
    <row r="394" spans="1:16" x14ac:dyDescent="0.3">
      <c r="A394" t="s">
        <v>22</v>
      </c>
      <c r="B394" t="s">
        <v>655</v>
      </c>
      <c r="C394" t="s">
        <v>655</v>
      </c>
      <c r="D394">
        <v>2</v>
      </c>
      <c r="E394" t="s">
        <v>657</v>
      </c>
      <c r="F394" t="s">
        <v>657</v>
      </c>
      <c r="L394">
        <v>19</v>
      </c>
      <c r="N394">
        <v>0</v>
      </c>
      <c r="O394">
        <v>19</v>
      </c>
      <c r="P394">
        <v>19</v>
      </c>
    </row>
    <row r="395" spans="1:16" x14ac:dyDescent="0.3">
      <c r="A395" t="s">
        <v>22</v>
      </c>
      <c r="B395" t="s">
        <v>655</v>
      </c>
      <c r="C395" t="s">
        <v>655</v>
      </c>
      <c r="D395">
        <v>3</v>
      </c>
      <c r="E395" t="s">
        <v>658</v>
      </c>
      <c r="F395" t="s">
        <v>658</v>
      </c>
      <c r="L395">
        <v>326</v>
      </c>
      <c r="N395">
        <v>317</v>
      </c>
      <c r="O395">
        <v>9</v>
      </c>
      <c r="P395">
        <v>326</v>
      </c>
    </row>
    <row r="396" spans="1:16" x14ac:dyDescent="0.3">
      <c r="A396" t="s">
        <v>22</v>
      </c>
      <c r="B396" t="s">
        <v>655</v>
      </c>
      <c r="C396" t="s">
        <v>655</v>
      </c>
      <c r="D396">
        <v>4</v>
      </c>
      <c r="E396" t="s">
        <v>659</v>
      </c>
      <c r="F396" t="s">
        <v>659</v>
      </c>
      <c r="L396">
        <v>12</v>
      </c>
      <c r="N396">
        <v>0</v>
      </c>
      <c r="O396">
        <v>12</v>
      </c>
      <c r="P396">
        <v>12</v>
      </c>
    </row>
    <row r="397" spans="1:16" x14ac:dyDescent="0.3">
      <c r="A397" t="s">
        <v>22</v>
      </c>
      <c r="B397" t="s">
        <v>655</v>
      </c>
      <c r="C397" t="s">
        <v>655</v>
      </c>
      <c r="D397">
        <v>5</v>
      </c>
      <c r="E397" t="s">
        <v>660</v>
      </c>
      <c r="F397" t="s">
        <v>660</v>
      </c>
      <c r="L397">
        <v>97</v>
      </c>
      <c r="N397">
        <v>29</v>
      </c>
      <c r="O397">
        <v>68</v>
      </c>
      <c r="P397">
        <v>97</v>
      </c>
    </row>
    <row r="398" spans="1:16" x14ac:dyDescent="0.3">
      <c r="A398" t="s">
        <v>22</v>
      </c>
      <c r="B398" t="s">
        <v>655</v>
      </c>
      <c r="C398" t="s">
        <v>655</v>
      </c>
      <c r="D398">
        <v>6</v>
      </c>
      <c r="E398" t="s">
        <v>661</v>
      </c>
      <c r="F398" t="s">
        <v>661</v>
      </c>
      <c r="L398">
        <v>2</v>
      </c>
      <c r="N398">
        <v>0</v>
      </c>
      <c r="O398">
        <v>2</v>
      </c>
      <c r="P398">
        <v>2</v>
      </c>
    </row>
    <row r="399" spans="1:16" x14ac:dyDescent="0.3">
      <c r="A399" t="s">
        <v>22</v>
      </c>
      <c r="B399" t="s">
        <v>655</v>
      </c>
      <c r="C399" t="s">
        <v>655</v>
      </c>
      <c r="D399">
        <v>7</v>
      </c>
      <c r="E399" t="s">
        <v>662</v>
      </c>
      <c r="F399" t="s">
        <v>662</v>
      </c>
      <c r="L399">
        <v>16</v>
      </c>
      <c r="N399">
        <v>12</v>
      </c>
      <c r="O399">
        <v>4</v>
      </c>
      <c r="P399">
        <v>16</v>
      </c>
    </row>
    <row r="400" spans="1:16" x14ac:dyDescent="0.3">
      <c r="A400" t="s">
        <v>22</v>
      </c>
      <c r="B400" t="s">
        <v>655</v>
      </c>
      <c r="C400" t="s">
        <v>655</v>
      </c>
      <c r="D400">
        <v>8</v>
      </c>
      <c r="E400" t="s">
        <v>663</v>
      </c>
      <c r="F400" t="s">
        <v>663</v>
      </c>
      <c r="L400">
        <v>2</v>
      </c>
      <c r="N400">
        <v>0</v>
      </c>
      <c r="O400">
        <v>2</v>
      </c>
      <c r="P400">
        <v>2</v>
      </c>
    </row>
    <row r="401" spans="1:16" x14ac:dyDescent="0.3">
      <c r="A401" t="s">
        <v>22</v>
      </c>
      <c r="B401" t="s">
        <v>655</v>
      </c>
      <c r="C401" t="s">
        <v>655</v>
      </c>
      <c r="D401">
        <v>9</v>
      </c>
      <c r="E401" t="s">
        <v>664</v>
      </c>
      <c r="F401" t="s">
        <v>664</v>
      </c>
      <c r="L401">
        <v>25</v>
      </c>
      <c r="N401">
        <v>0</v>
      </c>
      <c r="O401">
        <v>25</v>
      </c>
      <c r="P401">
        <v>25</v>
      </c>
    </row>
    <row r="402" spans="1:16" x14ac:dyDescent="0.3">
      <c r="A402" t="s">
        <v>22</v>
      </c>
      <c r="B402" t="s">
        <v>655</v>
      </c>
      <c r="C402" t="s">
        <v>655</v>
      </c>
      <c r="D402">
        <v>10</v>
      </c>
      <c r="E402" t="s">
        <v>665</v>
      </c>
      <c r="F402" t="s">
        <v>665</v>
      </c>
      <c r="L402">
        <v>49</v>
      </c>
      <c r="N402">
        <v>0</v>
      </c>
      <c r="O402">
        <v>49</v>
      </c>
      <c r="P402">
        <v>49</v>
      </c>
    </row>
    <row r="403" spans="1:16" x14ac:dyDescent="0.3">
      <c r="A403" t="s">
        <v>22</v>
      </c>
      <c r="B403" t="s">
        <v>655</v>
      </c>
      <c r="C403" t="s">
        <v>655</v>
      </c>
      <c r="D403">
        <v>11</v>
      </c>
      <c r="E403" t="s">
        <v>666</v>
      </c>
      <c r="F403" t="s">
        <v>666</v>
      </c>
      <c r="L403">
        <v>3</v>
      </c>
      <c r="N403">
        <v>0</v>
      </c>
      <c r="O403">
        <v>3</v>
      </c>
      <c r="P403">
        <v>3</v>
      </c>
    </row>
    <row r="404" spans="1:16" x14ac:dyDescent="0.3">
      <c r="A404" t="s">
        <v>22</v>
      </c>
      <c r="B404" t="s">
        <v>655</v>
      </c>
      <c r="C404" t="s">
        <v>655</v>
      </c>
      <c r="D404">
        <v>12</v>
      </c>
      <c r="E404" t="s">
        <v>667</v>
      </c>
      <c r="F404" t="s">
        <v>667</v>
      </c>
      <c r="L404">
        <v>25</v>
      </c>
      <c r="N404">
        <v>0</v>
      </c>
      <c r="O404">
        <v>25</v>
      </c>
      <c r="P404">
        <v>25</v>
      </c>
    </row>
    <row r="405" spans="1:16" x14ac:dyDescent="0.3">
      <c r="A405" t="s">
        <v>22</v>
      </c>
      <c r="B405" t="s">
        <v>655</v>
      </c>
      <c r="C405" t="s">
        <v>655</v>
      </c>
      <c r="D405">
        <v>13</v>
      </c>
      <c r="E405" t="s">
        <v>668</v>
      </c>
      <c r="F405" t="s">
        <v>668</v>
      </c>
      <c r="L405">
        <v>15</v>
      </c>
      <c r="N405">
        <v>0</v>
      </c>
      <c r="O405">
        <v>15</v>
      </c>
      <c r="P405">
        <v>15</v>
      </c>
    </row>
    <row r="406" spans="1:16" x14ac:dyDescent="0.3">
      <c r="A406" t="s">
        <v>22</v>
      </c>
      <c r="B406" t="s">
        <v>655</v>
      </c>
      <c r="C406" t="s">
        <v>655</v>
      </c>
      <c r="D406">
        <v>14</v>
      </c>
      <c r="E406" t="s">
        <v>669</v>
      </c>
      <c r="F406" t="s">
        <v>669</v>
      </c>
      <c r="L406">
        <v>8</v>
      </c>
      <c r="N406">
        <v>4</v>
      </c>
      <c r="O406">
        <v>4</v>
      </c>
      <c r="P406">
        <v>8</v>
      </c>
    </row>
    <row r="407" spans="1:16" x14ac:dyDescent="0.3">
      <c r="A407" t="s">
        <v>22</v>
      </c>
      <c r="B407" t="s">
        <v>670</v>
      </c>
      <c r="C407" t="s">
        <v>670</v>
      </c>
      <c r="D407">
        <v>1</v>
      </c>
      <c r="E407" t="s">
        <v>671</v>
      </c>
      <c r="F407" t="s">
        <v>671</v>
      </c>
      <c r="L407">
        <v>56</v>
      </c>
      <c r="N407">
        <v>54</v>
      </c>
      <c r="O407">
        <v>2</v>
      </c>
      <c r="P407">
        <v>56</v>
      </c>
    </row>
    <row r="408" spans="1:16" x14ac:dyDescent="0.3">
      <c r="A408" t="s">
        <v>22</v>
      </c>
      <c r="B408" t="s">
        <v>670</v>
      </c>
      <c r="C408" t="s">
        <v>670</v>
      </c>
      <c r="D408">
        <v>2</v>
      </c>
      <c r="E408" t="s">
        <v>672</v>
      </c>
      <c r="F408" t="s">
        <v>672</v>
      </c>
      <c r="L408">
        <v>65</v>
      </c>
      <c r="N408">
        <v>54</v>
      </c>
      <c r="O408">
        <v>11</v>
      </c>
      <c r="P408">
        <v>65</v>
      </c>
    </row>
    <row r="409" spans="1:16" x14ac:dyDescent="0.3">
      <c r="A409" t="s">
        <v>22</v>
      </c>
      <c r="B409" t="s">
        <v>670</v>
      </c>
      <c r="C409" t="s">
        <v>670</v>
      </c>
      <c r="D409">
        <v>3</v>
      </c>
      <c r="E409" t="s">
        <v>673</v>
      </c>
      <c r="F409" t="s">
        <v>673</v>
      </c>
      <c r="L409">
        <v>54</v>
      </c>
      <c r="N409">
        <v>53</v>
      </c>
      <c r="O409">
        <v>1</v>
      </c>
      <c r="P409">
        <v>54</v>
      </c>
    </row>
    <row r="410" spans="1:16" x14ac:dyDescent="0.3">
      <c r="A410" t="s">
        <v>22</v>
      </c>
      <c r="B410" t="s">
        <v>670</v>
      </c>
      <c r="C410" t="s">
        <v>670</v>
      </c>
      <c r="D410">
        <v>4</v>
      </c>
      <c r="E410" t="s">
        <v>674</v>
      </c>
      <c r="F410" t="s">
        <v>674</v>
      </c>
      <c r="L410">
        <v>55</v>
      </c>
      <c r="N410">
        <v>49</v>
      </c>
      <c r="O410">
        <v>6</v>
      </c>
      <c r="P410">
        <v>55</v>
      </c>
    </row>
    <row r="411" spans="1:16" x14ac:dyDescent="0.3">
      <c r="A411" t="s">
        <v>22</v>
      </c>
      <c r="B411" t="s">
        <v>670</v>
      </c>
      <c r="C411" t="s">
        <v>670</v>
      </c>
      <c r="D411">
        <v>5</v>
      </c>
      <c r="E411" t="s">
        <v>675</v>
      </c>
      <c r="F411" t="s">
        <v>675</v>
      </c>
      <c r="L411">
        <v>51</v>
      </c>
      <c r="N411">
        <v>49</v>
      </c>
      <c r="O411">
        <v>2</v>
      </c>
      <c r="P411">
        <v>51</v>
      </c>
    </row>
    <row r="412" spans="1:16" x14ac:dyDescent="0.3">
      <c r="A412" t="s">
        <v>22</v>
      </c>
      <c r="B412" t="s">
        <v>670</v>
      </c>
      <c r="C412" t="s">
        <v>670</v>
      </c>
      <c r="D412">
        <v>6</v>
      </c>
      <c r="E412" t="s">
        <v>676</v>
      </c>
      <c r="F412" t="s">
        <v>676</v>
      </c>
      <c r="L412">
        <v>58</v>
      </c>
      <c r="N412">
        <v>54</v>
      </c>
      <c r="O412">
        <v>4</v>
      </c>
      <c r="P412">
        <v>58</v>
      </c>
    </row>
    <row r="413" spans="1:16" x14ac:dyDescent="0.3">
      <c r="A413" t="s">
        <v>22</v>
      </c>
      <c r="B413" t="s">
        <v>670</v>
      </c>
      <c r="C413" t="s">
        <v>670</v>
      </c>
      <c r="D413">
        <v>7</v>
      </c>
      <c r="E413" t="s">
        <v>677</v>
      </c>
      <c r="F413" t="s">
        <v>677</v>
      </c>
      <c r="L413">
        <v>68</v>
      </c>
      <c r="N413">
        <v>67</v>
      </c>
      <c r="O413">
        <v>1</v>
      </c>
      <c r="P413">
        <v>68</v>
      </c>
    </row>
    <row r="414" spans="1:16" x14ac:dyDescent="0.3">
      <c r="A414" t="s">
        <v>22</v>
      </c>
      <c r="B414" t="s">
        <v>678</v>
      </c>
      <c r="C414" t="s">
        <v>679</v>
      </c>
      <c r="D414">
        <v>1</v>
      </c>
      <c r="E414" t="s">
        <v>679</v>
      </c>
      <c r="F414" t="s">
        <v>679</v>
      </c>
      <c r="L414">
        <v>6</v>
      </c>
      <c r="N414">
        <v>3</v>
      </c>
      <c r="O414">
        <v>3</v>
      </c>
      <c r="P414">
        <v>6</v>
      </c>
    </row>
    <row r="415" spans="1:16" x14ac:dyDescent="0.3">
      <c r="A415" t="s">
        <v>22</v>
      </c>
      <c r="B415" t="s">
        <v>678</v>
      </c>
      <c r="C415" t="s">
        <v>680</v>
      </c>
      <c r="D415">
        <v>2</v>
      </c>
      <c r="E415" t="s">
        <v>680</v>
      </c>
      <c r="F415" t="s">
        <v>680</v>
      </c>
      <c r="L415">
        <v>132</v>
      </c>
      <c r="N415">
        <v>0</v>
      </c>
      <c r="O415">
        <v>132</v>
      </c>
      <c r="P415">
        <v>132</v>
      </c>
    </row>
    <row r="416" spans="1:16" x14ac:dyDescent="0.3">
      <c r="A416" t="s">
        <v>22</v>
      </c>
      <c r="B416" t="s">
        <v>678</v>
      </c>
      <c r="C416" t="s">
        <v>681</v>
      </c>
      <c r="D416">
        <v>3</v>
      </c>
      <c r="E416" t="s">
        <v>681</v>
      </c>
      <c r="F416" t="s">
        <v>681</v>
      </c>
      <c r="L416">
        <v>82</v>
      </c>
      <c r="N416">
        <v>0</v>
      </c>
      <c r="O416">
        <v>82</v>
      </c>
      <c r="P416">
        <v>82</v>
      </c>
    </row>
    <row r="417" spans="1:16" x14ac:dyDescent="0.3">
      <c r="A417" t="s">
        <v>22</v>
      </c>
      <c r="B417" t="s">
        <v>678</v>
      </c>
      <c r="C417" t="s">
        <v>682</v>
      </c>
      <c r="D417">
        <v>4</v>
      </c>
      <c r="E417" t="s">
        <v>682</v>
      </c>
      <c r="F417" t="s">
        <v>682</v>
      </c>
      <c r="L417">
        <v>142</v>
      </c>
      <c r="N417">
        <v>15</v>
      </c>
      <c r="O417">
        <v>127</v>
      </c>
      <c r="P417">
        <v>142</v>
      </c>
    </row>
    <row r="418" spans="1:16" x14ac:dyDescent="0.3">
      <c r="A418" t="s">
        <v>22</v>
      </c>
      <c r="B418" t="s">
        <v>678</v>
      </c>
      <c r="C418" t="s">
        <v>683</v>
      </c>
      <c r="D418">
        <v>5</v>
      </c>
      <c r="E418" t="s">
        <v>683</v>
      </c>
      <c r="F418" t="s">
        <v>683</v>
      </c>
      <c r="L418">
        <v>14</v>
      </c>
      <c r="N418">
        <v>0</v>
      </c>
      <c r="O418">
        <v>14</v>
      </c>
      <c r="P418">
        <v>14</v>
      </c>
    </row>
    <row r="419" spans="1:16" x14ac:dyDescent="0.3">
      <c r="A419" t="s">
        <v>22</v>
      </c>
      <c r="B419" t="s">
        <v>678</v>
      </c>
      <c r="C419" t="s">
        <v>684</v>
      </c>
      <c r="D419">
        <v>6</v>
      </c>
      <c r="E419" t="s">
        <v>684</v>
      </c>
      <c r="F419" t="s">
        <v>684</v>
      </c>
      <c r="L419">
        <v>82</v>
      </c>
      <c r="N419">
        <v>0</v>
      </c>
      <c r="O419">
        <v>82</v>
      </c>
      <c r="P419">
        <v>82</v>
      </c>
    </row>
    <row r="420" spans="1:16" x14ac:dyDescent="0.3">
      <c r="A420" t="s">
        <v>22</v>
      </c>
      <c r="B420" t="s">
        <v>678</v>
      </c>
      <c r="C420" t="s">
        <v>685</v>
      </c>
      <c r="D420">
        <v>7</v>
      </c>
      <c r="E420" t="s">
        <v>685</v>
      </c>
      <c r="F420" t="s">
        <v>685</v>
      </c>
      <c r="L420">
        <v>0</v>
      </c>
      <c r="N420">
        <v>0</v>
      </c>
      <c r="O420">
        <v>0</v>
      </c>
      <c r="P420">
        <v>0</v>
      </c>
    </row>
    <row r="421" spans="1:16" x14ac:dyDescent="0.3">
      <c r="A421" t="s">
        <v>22</v>
      </c>
      <c r="B421" t="s">
        <v>678</v>
      </c>
      <c r="C421" t="s">
        <v>686</v>
      </c>
      <c r="D421">
        <v>8</v>
      </c>
      <c r="E421" t="s">
        <v>686</v>
      </c>
      <c r="F421" t="s">
        <v>686</v>
      </c>
      <c r="L421">
        <v>0</v>
      </c>
      <c r="N421">
        <v>0</v>
      </c>
      <c r="O421">
        <v>0</v>
      </c>
      <c r="P421">
        <v>0</v>
      </c>
    </row>
    <row r="422" spans="1:16" x14ac:dyDescent="0.3">
      <c r="A422" t="s">
        <v>22</v>
      </c>
      <c r="B422" t="s">
        <v>678</v>
      </c>
      <c r="C422" t="s">
        <v>375</v>
      </c>
      <c r="D422">
        <v>9</v>
      </c>
      <c r="E422" t="s">
        <v>375</v>
      </c>
      <c r="F422" t="s">
        <v>375</v>
      </c>
      <c r="L422">
        <v>5</v>
      </c>
      <c r="N422">
        <v>0</v>
      </c>
      <c r="O422">
        <v>5</v>
      </c>
      <c r="P422">
        <v>5</v>
      </c>
    </row>
    <row r="423" spans="1:16" x14ac:dyDescent="0.3">
      <c r="A423" t="s">
        <v>22</v>
      </c>
      <c r="B423" t="s">
        <v>678</v>
      </c>
      <c r="C423" t="s">
        <v>687</v>
      </c>
      <c r="D423">
        <v>10</v>
      </c>
      <c r="E423" t="s">
        <v>687</v>
      </c>
      <c r="F423" t="s">
        <v>687</v>
      </c>
      <c r="L423">
        <v>9</v>
      </c>
      <c r="N423">
        <v>0</v>
      </c>
      <c r="O423">
        <v>9</v>
      </c>
      <c r="P423">
        <v>9</v>
      </c>
    </row>
    <row r="424" spans="1:16" x14ac:dyDescent="0.3">
      <c r="A424" t="s">
        <v>22</v>
      </c>
      <c r="B424" t="s">
        <v>678</v>
      </c>
      <c r="C424" t="s">
        <v>368</v>
      </c>
      <c r="D424">
        <v>11</v>
      </c>
      <c r="E424" t="s">
        <v>368</v>
      </c>
      <c r="F424" t="s">
        <v>368</v>
      </c>
      <c r="L424">
        <v>12</v>
      </c>
      <c r="N424">
        <v>0</v>
      </c>
      <c r="O424">
        <v>12</v>
      </c>
      <c r="P424">
        <v>12</v>
      </c>
    </row>
    <row r="425" spans="1:16" x14ac:dyDescent="0.3">
      <c r="A425" t="s">
        <v>22</v>
      </c>
      <c r="B425" t="s">
        <v>678</v>
      </c>
      <c r="C425" t="s">
        <v>688</v>
      </c>
      <c r="D425">
        <v>12</v>
      </c>
      <c r="E425" t="s">
        <v>688</v>
      </c>
      <c r="F425" t="s">
        <v>688</v>
      </c>
      <c r="L425">
        <v>0</v>
      </c>
      <c r="N425">
        <v>0</v>
      </c>
      <c r="O425">
        <v>0</v>
      </c>
      <c r="P425">
        <v>0</v>
      </c>
    </row>
    <row r="426" spans="1:16" x14ac:dyDescent="0.3">
      <c r="A426" t="s">
        <v>22</v>
      </c>
      <c r="B426" t="s">
        <v>678</v>
      </c>
      <c r="C426" t="s">
        <v>689</v>
      </c>
      <c r="D426">
        <v>13</v>
      </c>
      <c r="E426" t="s">
        <v>689</v>
      </c>
      <c r="F426" t="s">
        <v>689</v>
      </c>
      <c r="L426">
        <v>22</v>
      </c>
      <c r="N426">
        <v>22</v>
      </c>
      <c r="O426">
        <v>0</v>
      </c>
      <c r="P426">
        <v>22</v>
      </c>
    </row>
    <row r="427" spans="1:16" x14ac:dyDescent="0.3">
      <c r="A427" t="s">
        <v>22</v>
      </c>
      <c r="B427" t="s">
        <v>678</v>
      </c>
      <c r="C427" t="s">
        <v>690</v>
      </c>
      <c r="D427">
        <v>14</v>
      </c>
      <c r="E427" t="s">
        <v>690</v>
      </c>
      <c r="F427" t="s">
        <v>690</v>
      </c>
      <c r="L427">
        <v>0</v>
      </c>
      <c r="N427">
        <v>0</v>
      </c>
      <c r="O427">
        <v>0</v>
      </c>
      <c r="P427">
        <v>0</v>
      </c>
    </row>
    <row r="428" spans="1:16" x14ac:dyDescent="0.3">
      <c r="A428" t="s">
        <v>22</v>
      </c>
      <c r="B428" t="s">
        <v>678</v>
      </c>
      <c r="C428" t="s">
        <v>691</v>
      </c>
      <c r="D428">
        <v>15</v>
      </c>
      <c r="E428" t="s">
        <v>691</v>
      </c>
      <c r="F428" t="s">
        <v>691</v>
      </c>
      <c r="L428">
        <v>0</v>
      </c>
      <c r="N428">
        <v>0</v>
      </c>
      <c r="O428">
        <v>0</v>
      </c>
      <c r="P428">
        <v>0</v>
      </c>
    </row>
    <row r="429" spans="1:16" x14ac:dyDescent="0.3">
      <c r="A429" t="s">
        <v>22</v>
      </c>
      <c r="B429" t="s">
        <v>692</v>
      </c>
      <c r="C429" t="s">
        <v>693</v>
      </c>
      <c r="D429">
        <v>1</v>
      </c>
      <c r="E429" t="s">
        <v>693</v>
      </c>
      <c r="F429" t="s">
        <v>693</v>
      </c>
      <c r="L429">
        <v>106</v>
      </c>
      <c r="N429">
        <v>0</v>
      </c>
      <c r="O429">
        <v>106</v>
      </c>
      <c r="P429">
        <v>106</v>
      </c>
    </row>
    <row r="430" spans="1:16" x14ac:dyDescent="0.3">
      <c r="A430" t="s">
        <v>22</v>
      </c>
      <c r="B430" t="s">
        <v>692</v>
      </c>
      <c r="C430" t="s">
        <v>694</v>
      </c>
      <c r="D430">
        <v>2</v>
      </c>
      <c r="E430" t="s">
        <v>694</v>
      </c>
      <c r="F430" t="s">
        <v>694</v>
      </c>
      <c r="L430">
        <v>30</v>
      </c>
      <c r="N430">
        <v>0</v>
      </c>
      <c r="O430">
        <v>30</v>
      </c>
      <c r="P430">
        <v>30</v>
      </c>
    </row>
    <row r="431" spans="1:16" x14ac:dyDescent="0.3">
      <c r="A431" t="s">
        <v>22</v>
      </c>
      <c r="B431" t="s">
        <v>692</v>
      </c>
      <c r="C431" t="s">
        <v>695</v>
      </c>
      <c r="D431">
        <v>3</v>
      </c>
      <c r="E431" t="s">
        <v>695</v>
      </c>
      <c r="F431" t="s">
        <v>695</v>
      </c>
      <c r="L431">
        <v>42</v>
      </c>
      <c r="N431">
        <v>0</v>
      </c>
      <c r="O431">
        <v>42</v>
      </c>
      <c r="P431">
        <v>42</v>
      </c>
    </row>
    <row r="432" spans="1:16" x14ac:dyDescent="0.3">
      <c r="A432" t="s">
        <v>22</v>
      </c>
      <c r="B432" t="s">
        <v>692</v>
      </c>
      <c r="C432" t="s">
        <v>696</v>
      </c>
      <c r="D432">
        <v>4</v>
      </c>
      <c r="E432" t="s">
        <v>696</v>
      </c>
      <c r="F432" t="s">
        <v>696</v>
      </c>
      <c r="L432">
        <v>0</v>
      </c>
      <c r="N432">
        <v>0</v>
      </c>
      <c r="O432">
        <v>0</v>
      </c>
      <c r="P432">
        <v>0</v>
      </c>
    </row>
    <row r="433" spans="1:16" x14ac:dyDescent="0.3">
      <c r="A433" t="s">
        <v>22</v>
      </c>
      <c r="B433" t="s">
        <v>692</v>
      </c>
      <c r="C433" t="s">
        <v>28</v>
      </c>
      <c r="D433">
        <v>5</v>
      </c>
      <c r="E433" t="s">
        <v>28</v>
      </c>
      <c r="F433" t="s">
        <v>28</v>
      </c>
      <c r="L433">
        <v>58</v>
      </c>
      <c r="N433">
        <v>0</v>
      </c>
      <c r="O433">
        <v>58</v>
      </c>
      <c r="P433">
        <v>58</v>
      </c>
    </row>
    <row r="434" spans="1:16" x14ac:dyDescent="0.3">
      <c r="A434" t="s">
        <v>22</v>
      </c>
      <c r="B434" t="s">
        <v>692</v>
      </c>
      <c r="C434" t="s">
        <v>697</v>
      </c>
      <c r="D434">
        <v>6</v>
      </c>
      <c r="E434" t="s">
        <v>697</v>
      </c>
      <c r="F434" t="s">
        <v>697</v>
      </c>
      <c r="L434">
        <v>5</v>
      </c>
      <c r="N434">
        <v>0</v>
      </c>
      <c r="O434">
        <v>5</v>
      </c>
      <c r="P434">
        <v>5</v>
      </c>
    </row>
    <row r="435" spans="1:16" x14ac:dyDescent="0.3">
      <c r="A435" t="s">
        <v>22</v>
      </c>
      <c r="B435" t="s">
        <v>692</v>
      </c>
      <c r="C435" t="s">
        <v>698</v>
      </c>
      <c r="D435">
        <v>7</v>
      </c>
      <c r="E435" t="s">
        <v>698</v>
      </c>
      <c r="F435" t="s">
        <v>698</v>
      </c>
      <c r="L435">
        <v>80</v>
      </c>
      <c r="N435">
        <v>0</v>
      </c>
      <c r="O435">
        <v>80</v>
      </c>
      <c r="P435">
        <v>80</v>
      </c>
    </row>
    <row r="436" spans="1:16" x14ac:dyDescent="0.3">
      <c r="A436" t="s">
        <v>22</v>
      </c>
      <c r="B436" t="s">
        <v>692</v>
      </c>
      <c r="C436" t="s">
        <v>699</v>
      </c>
      <c r="D436">
        <v>8</v>
      </c>
      <c r="E436" t="s">
        <v>699</v>
      </c>
      <c r="F436" t="s">
        <v>699</v>
      </c>
      <c r="L436">
        <v>50</v>
      </c>
      <c r="N436">
        <v>0</v>
      </c>
      <c r="O436">
        <v>50</v>
      </c>
      <c r="P436">
        <v>50</v>
      </c>
    </row>
    <row r="437" spans="1:16" x14ac:dyDescent="0.3">
      <c r="A437" t="s">
        <v>22</v>
      </c>
      <c r="B437" t="s">
        <v>692</v>
      </c>
      <c r="C437" t="s">
        <v>700</v>
      </c>
      <c r="D437">
        <v>9</v>
      </c>
      <c r="E437" t="s">
        <v>700</v>
      </c>
      <c r="F437" t="s">
        <v>700</v>
      </c>
      <c r="L437">
        <v>41</v>
      </c>
      <c r="N437">
        <v>0</v>
      </c>
      <c r="O437">
        <v>41</v>
      </c>
      <c r="P437">
        <v>41</v>
      </c>
    </row>
    <row r="438" spans="1:16" x14ac:dyDescent="0.3">
      <c r="A438" t="s">
        <v>22</v>
      </c>
      <c r="B438" t="s">
        <v>692</v>
      </c>
      <c r="C438" t="s">
        <v>701</v>
      </c>
      <c r="D438">
        <v>10</v>
      </c>
      <c r="E438" t="s">
        <v>701</v>
      </c>
      <c r="F438" t="s">
        <v>701</v>
      </c>
      <c r="L438">
        <v>0</v>
      </c>
      <c r="N438">
        <v>0</v>
      </c>
      <c r="O438">
        <v>0</v>
      </c>
      <c r="P438">
        <v>0</v>
      </c>
    </row>
    <row r="439" spans="1:16" x14ac:dyDescent="0.3">
      <c r="A439" t="s">
        <v>22</v>
      </c>
      <c r="B439" t="s">
        <v>692</v>
      </c>
      <c r="C439" t="s">
        <v>702</v>
      </c>
      <c r="D439">
        <v>11</v>
      </c>
      <c r="E439" t="s">
        <v>702</v>
      </c>
      <c r="F439" t="s">
        <v>702</v>
      </c>
      <c r="L439">
        <v>59</v>
      </c>
      <c r="N439">
        <v>0</v>
      </c>
      <c r="O439">
        <v>59</v>
      </c>
      <c r="P439">
        <v>59</v>
      </c>
    </row>
    <row r="440" spans="1:16" x14ac:dyDescent="0.3">
      <c r="A440" t="s">
        <v>22</v>
      </c>
      <c r="B440" t="s">
        <v>692</v>
      </c>
      <c r="C440" t="s">
        <v>703</v>
      </c>
      <c r="D440">
        <v>12</v>
      </c>
      <c r="E440" t="s">
        <v>703</v>
      </c>
      <c r="F440" t="s">
        <v>703</v>
      </c>
      <c r="L440">
        <v>15</v>
      </c>
      <c r="N440">
        <v>0</v>
      </c>
      <c r="O440">
        <v>15</v>
      </c>
      <c r="P440">
        <v>15</v>
      </c>
    </row>
    <row r="441" spans="1:16" x14ac:dyDescent="0.3">
      <c r="A441" t="s">
        <v>22</v>
      </c>
      <c r="B441" t="s">
        <v>692</v>
      </c>
      <c r="C441" t="s">
        <v>704</v>
      </c>
      <c r="D441">
        <v>13</v>
      </c>
      <c r="E441" t="s">
        <v>704</v>
      </c>
      <c r="F441" t="s">
        <v>704</v>
      </c>
      <c r="L441">
        <v>0</v>
      </c>
      <c r="N441">
        <v>0</v>
      </c>
      <c r="O441">
        <v>0</v>
      </c>
      <c r="P441">
        <v>0</v>
      </c>
    </row>
    <row r="442" spans="1:16" x14ac:dyDescent="0.3">
      <c r="A442" t="s">
        <v>22</v>
      </c>
      <c r="B442" t="s">
        <v>692</v>
      </c>
      <c r="C442" t="s">
        <v>705</v>
      </c>
      <c r="D442">
        <v>14</v>
      </c>
      <c r="E442" t="s">
        <v>705</v>
      </c>
      <c r="F442" t="s">
        <v>705</v>
      </c>
      <c r="L442">
        <v>20</v>
      </c>
      <c r="N442">
        <v>0</v>
      </c>
      <c r="O442">
        <v>20</v>
      </c>
      <c r="P442">
        <v>20</v>
      </c>
    </row>
    <row r="443" spans="1:16" x14ac:dyDescent="0.3">
      <c r="A443" t="s">
        <v>22</v>
      </c>
      <c r="B443" t="s">
        <v>692</v>
      </c>
      <c r="C443" t="s">
        <v>706</v>
      </c>
      <c r="D443">
        <v>15</v>
      </c>
      <c r="E443" t="s">
        <v>706</v>
      </c>
      <c r="F443" t="s">
        <v>706</v>
      </c>
      <c r="L443">
        <v>94</v>
      </c>
      <c r="N443">
        <v>0</v>
      </c>
      <c r="O443">
        <v>94</v>
      </c>
      <c r="P443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49529-A98F-4A5A-AF79-6F36A9D03A7C}">
  <dimension ref="A1:X92"/>
  <sheetViews>
    <sheetView workbookViewId="0">
      <selection sqref="A1:X92"/>
    </sheetView>
  </sheetViews>
  <sheetFormatPr defaultRowHeight="14.4" x14ac:dyDescent="0.3"/>
  <cols>
    <col min="1" max="1" width="7.44140625" bestFit="1" customWidth="1"/>
    <col min="2" max="2" width="8.33203125" bestFit="1" customWidth="1"/>
    <col min="3" max="3" width="28.21875" bestFit="1" customWidth="1"/>
    <col min="4" max="4" width="5.5546875" bestFit="1" customWidth="1"/>
    <col min="5" max="5" width="30" bestFit="1" customWidth="1"/>
    <col min="6" max="6" width="84.88671875" bestFit="1" customWidth="1"/>
    <col min="7" max="7" width="13.21875" bestFit="1" customWidth="1"/>
    <col min="8" max="8" width="22.6640625" bestFit="1" customWidth="1"/>
    <col min="9" max="9" width="23.77734375" bestFit="1" customWidth="1"/>
    <col min="10" max="10" width="20.33203125" bestFit="1" customWidth="1"/>
    <col min="11" max="11" width="12.77734375" bestFit="1" customWidth="1"/>
    <col min="12" max="12" width="10" bestFit="1" customWidth="1"/>
    <col min="13" max="13" width="16.6640625" bestFit="1" customWidth="1"/>
    <col min="14" max="14" width="17" bestFit="1" customWidth="1"/>
    <col min="15" max="15" width="6.21875" bestFit="1" customWidth="1"/>
    <col min="16" max="16" width="11.33203125" bestFit="1" customWidth="1"/>
    <col min="17" max="19" width="6.21875" bestFit="1" customWidth="1"/>
    <col min="20" max="20" width="7" bestFit="1" customWidth="1"/>
    <col min="21" max="21" width="45" bestFit="1" customWidth="1"/>
    <col min="22" max="22" width="11" bestFit="1" customWidth="1"/>
    <col min="23" max="23" width="23.5546875" bestFit="1" customWidth="1"/>
    <col min="24" max="24" width="17.88671875" bestFit="1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636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635</v>
      </c>
    </row>
    <row r="2" spans="1:24" x14ac:dyDescent="0.3">
      <c r="A2" t="s">
        <v>22</v>
      </c>
      <c r="B2" t="s">
        <v>28</v>
      </c>
      <c r="C2" t="s">
        <v>29</v>
      </c>
      <c r="D2">
        <v>1</v>
      </c>
      <c r="E2" t="s">
        <v>23</v>
      </c>
      <c r="F2" t="s">
        <v>31</v>
      </c>
      <c r="I2" t="s">
        <v>586</v>
      </c>
      <c r="J2" t="s">
        <v>305</v>
      </c>
      <c r="K2">
        <v>2</v>
      </c>
      <c r="L2" t="s">
        <v>25</v>
      </c>
      <c r="M2">
        <v>0</v>
      </c>
      <c r="N2">
        <v>2</v>
      </c>
      <c r="O2">
        <v>2</v>
      </c>
      <c r="P2">
        <v>1</v>
      </c>
      <c r="Q2">
        <v>2</v>
      </c>
      <c r="R2">
        <v>0</v>
      </c>
      <c r="S2">
        <v>0</v>
      </c>
      <c r="T2">
        <v>0</v>
      </c>
      <c r="U2">
        <v>0</v>
      </c>
      <c r="W2" t="s">
        <v>27</v>
      </c>
    </row>
    <row r="3" spans="1:24" x14ac:dyDescent="0.3">
      <c r="A3" t="s">
        <v>22</v>
      </c>
      <c r="B3" t="s">
        <v>28</v>
      </c>
      <c r="C3" t="s">
        <v>29</v>
      </c>
      <c r="D3">
        <v>2</v>
      </c>
      <c r="E3" t="s">
        <v>30</v>
      </c>
      <c r="F3" t="s">
        <v>31</v>
      </c>
      <c r="H3">
        <v>7</v>
      </c>
      <c r="I3" t="s">
        <v>33</v>
      </c>
      <c r="J3" t="s">
        <v>34</v>
      </c>
      <c r="K3">
        <v>6</v>
      </c>
      <c r="L3" t="s">
        <v>25</v>
      </c>
      <c r="M3">
        <v>0</v>
      </c>
      <c r="N3">
        <v>6</v>
      </c>
      <c r="O3">
        <v>6</v>
      </c>
      <c r="P3">
        <v>3</v>
      </c>
      <c r="Q3">
        <v>0</v>
      </c>
      <c r="R3">
        <v>2</v>
      </c>
      <c r="S3">
        <v>2</v>
      </c>
      <c r="T3">
        <v>2</v>
      </c>
      <c r="U3">
        <v>0</v>
      </c>
      <c r="V3" t="s">
        <v>32</v>
      </c>
      <c r="W3" t="s">
        <v>27</v>
      </c>
    </row>
    <row r="4" spans="1:24" x14ac:dyDescent="0.3">
      <c r="A4" t="s">
        <v>22</v>
      </c>
      <c r="B4" t="s">
        <v>28</v>
      </c>
      <c r="C4" t="s">
        <v>29</v>
      </c>
      <c r="D4">
        <v>3</v>
      </c>
      <c r="E4" t="s">
        <v>35</v>
      </c>
      <c r="F4" t="s">
        <v>31</v>
      </c>
      <c r="H4">
        <v>49</v>
      </c>
      <c r="I4" t="s">
        <v>37</v>
      </c>
      <c r="J4" t="s">
        <v>38</v>
      </c>
      <c r="K4">
        <v>12</v>
      </c>
      <c r="L4" t="s">
        <v>25</v>
      </c>
      <c r="M4">
        <v>0</v>
      </c>
      <c r="N4">
        <v>12</v>
      </c>
      <c r="O4">
        <v>12</v>
      </c>
      <c r="P4">
        <v>3</v>
      </c>
      <c r="Q4">
        <v>0</v>
      </c>
      <c r="R4">
        <v>4</v>
      </c>
      <c r="S4">
        <v>4</v>
      </c>
      <c r="T4">
        <v>4</v>
      </c>
      <c r="U4">
        <v>0</v>
      </c>
      <c r="V4" t="s">
        <v>36</v>
      </c>
      <c r="W4" t="s">
        <v>27</v>
      </c>
    </row>
    <row r="5" spans="1:24" x14ac:dyDescent="0.3">
      <c r="A5" t="s">
        <v>22</v>
      </c>
      <c r="B5" t="s">
        <v>28</v>
      </c>
      <c r="C5" t="s">
        <v>29</v>
      </c>
      <c r="D5">
        <v>4</v>
      </c>
      <c r="E5" t="s">
        <v>39</v>
      </c>
      <c r="F5" t="s">
        <v>31</v>
      </c>
      <c r="G5">
        <v>31</v>
      </c>
      <c r="I5" t="s">
        <v>41</v>
      </c>
      <c r="J5" t="s">
        <v>42</v>
      </c>
      <c r="K5">
        <v>15</v>
      </c>
      <c r="L5" t="s">
        <v>25</v>
      </c>
      <c r="M5">
        <v>0</v>
      </c>
      <c r="N5">
        <v>15</v>
      </c>
      <c r="O5">
        <v>15</v>
      </c>
      <c r="P5">
        <v>3</v>
      </c>
      <c r="Q5">
        <v>0</v>
      </c>
      <c r="R5">
        <v>5</v>
      </c>
      <c r="S5">
        <v>5</v>
      </c>
      <c r="T5">
        <v>5</v>
      </c>
      <c r="U5">
        <v>0</v>
      </c>
      <c r="V5" t="s">
        <v>40</v>
      </c>
      <c r="W5" t="s">
        <v>27</v>
      </c>
    </row>
    <row r="6" spans="1:24" x14ac:dyDescent="0.3">
      <c r="A6" t="s">
        <v>22</v>
      </c>
      <c r="B6" t="s">
        <v>28</v>
      </c>
      <c r="C6" t="s">
        <v>29</v>
      </c>
      <c r="D6">
        <v>5</v>
      </c>
      <c r="E6" t="s">
        <v>43</v>
      </c>
      <c r="F6" t="s">
        <v>31</v>
      </c>
      <c r="H6">
        <v>15</v>
      </c>
      <c r="I6" t="s">
        <v>45</v>
      </c>
      <c r="J6" t="s">
        <v>588</v>
      </c>
      <c r="K6">
        <v>12</v>
      </c>
      <c r="L6" t="s">
        <v>25</v>
      </c>
      <c r="M6">
        <v>0</v>
      </c>
      <c r="N6">
        <v>12</v>
      </c>
      <c r="O6">
        <v>12</v>
      </c>
      <c r="P6">
        <v>3</v>
      </c>
      <c r="Q6">
        <v>0</v>
      </c>
      <c r="R6">
        <v>4</v>
      </c>
      <c r="S6">
        <v>4</v>
      </c>
      <c r="T6">
        <v>4</v>
      </c>
      <c r="U6">
        <v>0</v>
      </c>
      <c r="V6" t="s">
        <v>44</v>
      </c>
      <c r="W6" t="s">
        <v>27</v>
      </c>
    </row>
    <row r="7" spans="1:24" x14ac:dyDescent="0.3">
      <c r="A7" t="s">
        <v>22</v>
      </c>
      <c r="B7" t="s">
        <v>28</v>
      </c>
      <c r="C7" t="s">
        <v>29</v>
      </c>
      <c r="D7">
        <v>6</v>
      </c>
      <c r="E7" t="s">
        <v>46</v>
      </c>
      <c r="F7" t="s">
        <v>31</v>
      </c>
      <c r="G7">
        <v>8</v>
      </c>
      <c r="I7" t="s">
        <v>48</v>
      </c>
      <c r="J7" t="s">
        <v>49</v>
      </c>
      <c r="K7">
        <v>21</v>
      </c>
      <c r="L7" t="s">
        <v>25</v>
      </c>
      <c r="M7">
        <v>0</v>
      </c>
      <c r="N7">
        <v>21</v>
      </c>
      <c r="O7">
        <v>21</v>
      </c>
      <c r="P7">
        <v>3</v>
      </c>
      <c r="Q7">
        <v>0</v>
      </c>
      <c r="R7">
        <v>7</v>
      </c>
      <c r="S7">
        <v>7</v>
      </c>
      <c r="T7">
        <v>7</v>
      </c>
      <c r="U7">
        <v>0</v>
      </c>
      <c r="V7" t="s">
        <v>47</v>
      </c>
      <c r="W7" t="s">
        <v>27</v>
      </c>
    </row>
    <row r="8" spans="1:24" x14ac:dyDescent="0.3">
      <c r="A8" t="s">
        <v>22</v>
      </c>
      <c r="B8" t="s">
        <v>28</v>
      </c>
      <c r="C8" t="s">
        <v>29</v>
      </c>
      <c r="D8">
        <v>7</v>
      </c>
      <c r="E8" t="s">
        <v>46</v>
      </c>
      <c r="F8" t="s">
        <v>50</v>
      </c>
      <c r="J8" t="s">
        <v>587</v>
      </c>
      <c r="K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W8" t="s">
        <v>27</v>
      </c>
    </row>
    <row r="9" spans="1:24" x14ac:dyDescent="0.3">
      <c r="A9" t="s">
        <v>22</v>
      </c>
      <c r="B9" t="s">
        <v>28</v>
      </c>
      <c r="C9" t="s">
        <v>29</v>
      </c>
      <c r="D9">
        <v>8</v>
      </c>
      <c r="E9" t="s">
        <v>52</v>
      </c>
      <c r="F9" t="s">
        <v>31</v>
      </c>
      <c r="G9">
        <v>8</v>
      </c>
      <c r="I9" t="s">
        <v>53</v>
      </c>
      <c r="J9" t="s">
        <v>54</v>
      </c>
      <c r="K9">
        <v>9</v>
      </c>
      <c r="L9" t="s">
        <v>25</v>
      </c>
      <c r="M9">
        <v>0</v>
      </c>
      <c r="N9">
        <v>9</v>
      </c>
      <c r="O9">
        <v>9</v>
      </c>
      <c r="P9">
        <v>3</v>
      </c>
      <c r="Q9">
        <v>0</v>
      </c>
      <c r="R9">
        <v>3</v>
      </c>
      <c r="S9">
        <v>3</v>
      </c>
      <c r="T9">
        <v>3</v>
      </c>
      <c r="U9">
        <v>0</v>
      </c>
      <c r="V9" t="s">
        <v>47</v>
      </c>
      <c r="W9" t="s">
        <v>27</v>
      </c>
    </row>
    <row r="10" spans="1:24" x14ac:dyDescent="0.3">
      <c r="A10" t="s">
        <v>22</v>
      </c>
      <c r="B10" t="s">
        <v>28</v>
      </c>
      <c r="C10" t="s">
        <v>29</v>
      </c>
      <c r="D10">
        <v>9</v>
      </c>
      <c r="E10" t="s">
        <v>52</v>
      </c>
      <c r="F10" t="s">
        <v>50</v>
      </c>
      <c r="I10" t="s">
        <v>294</v>
      </c>
      <c r="J10" t="s">
        <v>587</v>
      </c>
      <c r="K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W10" t="s">
        <v>27</v>
      </c>
    </row>
    <row r="11" spans="1:24" x14ac:dyDescent="0.3">
      <c r="A11" t="s">
        <v>22</v>
      </c>
      <c r="B11" t="s">
        <v>28</v>
      </c>
      <c r="C11" t="s">
        <v>29</v>
      </c>
      <c r="D11">
        <v>10</v>
      </c>
      <c r="E11" t="s">
        <v>52</v>
      </c>
      <c r="F11" t="s">
        <v>55</v>
      </c>
      <c r="I11" t="s">
        <v>598</v>
      </c>
      <c r="J11" t="s">
        <v>227</v>
      </c>
      <c r="K11">
        <v>3</v>
      </c>
      <c r="L11" t="s">
        <v>25</v>
      </c>
      <c r="M11">
        <v>0</v>
      </c>
      <c r="N11">
        <v>3</v>
      </c>
      <c r="O11">
        <v>3</v>
      </c>
      <c r="P11">
        <v>3</v>
      </c>
      <c r="Q11">
        <v>0</v>
      </c>
      <c r="R11">
        <v>1</v>
      </c>
      <c r="S11">
        <v>1</v>
      </c>
      <c r="T11">
        <v>1</v>
      </c>
      <c r="U11">
        <v>0</v>
      </c>
      <c r="W11" t="s">
        <v>27</v>
      </c>
    </row>
    <row r="12" spans="1:24" x14ac:dyDescent="0.3">
      <c r="A12" t="s">
        <v>22</v>
      </c>
      <c r="B12" t="s">
        <v>28</v>
      </c>
      <c r="C12" t="s">
        <v>29</v>
      </c>
      <c r="D12">
        <v>11</v>
      </c>
      <c r="E12" t="s">
        <v>52</v>
      </c>
      <c r="F12" t="s">
        <v>57</v>
      </c>
      <c r="J12" t="s">
        <v>214</v>
      </c>
      <c r="K12">
        <v>6</v>
      </c>
      <c r="L12" t="s">
        <v>25</v>
      </c>
      <c r="M12">
        <v>0</v>
      </c>
      <c r="N12">
        <v>6</v>
      </c>
      <c r="O12">
        <v>6</v>
      </c>
      <c r="P12">
        <v>3</v>
      </c>
      <c r="Q12">
        <v>0</v>
      </c>
      <c r="R12">
        <v>2</v>
      </c>
      <c r="S12">
        <v>2</v>
      </c>
      <c r="T12">
        <v>2</v>
      </c>
      <c r="U12">
        <v>0</v>
      </c>
      <c r="W12" t="s">
        <v>27</v>
      </c>
    </row>
    <row r="13" spans="1:24" x14ac:dyDescent="0.3">
      <c r="A13" t="s">
        <v>22</v>
      </c>
      <c r="B13" t="s">
        <v>28</v>
      </c>
      <c r="C13" t="s">
        <v>58</v>
      </c>
      <c r="D13">
        <v>1</v>
      </c>
      <c r="E13" t="s">
        <v>59</v>
      </c>
      <c r="F13" t="s">
        <v>31</v>
      </c>
      <c r="G13">
        <v>24</v>
      </c>
      <c r="I13" t="s">
        <v>61</v>
      </c>
      <c r="J13" t="s">
        <v>590</v>
      </c>
      <c r="K13">
        <v>36</v>
      </c>
      <c r="L13" t="s">
        <v>62</v>
      </c>
      <c r="M13">
        <v>6</v>
      </c>
      <c r="N13">
        <v>30</v>
      </c>
      <c r="O13">
        <v>36</v>
      </c>
      <c r="P13">
        <v>3</v>
      </c>
      <c r="Q13">
        <v>0</v>
      </c>
      <c r="R13">
        <v>12</v>
      </c>
      <c r="S13">
        <v>12</v>
      </c>
      <c r="T13">
        <v>12</v>
      </c>
      <c r="U13">
        <v>0</v>
      </c>
      <c r="V13" t="s">
        <v>60</v>
      </c>
      <c r="W13" t="s">
        <v>27</v>
      </c>
    </row>
    <row r="14" spans="1:24" x14ac:dyDescent="0.3">
      <c r="A14" t="s">
        <v>22</v>
      </c>
      <c r="B14" t="s">
        <v>28</v>
      </c>
      <c r="C14" t="s">
        <v>58</v>
      </c>
      <c r="D14">
        <v>2</v>
      </c>
      <c r="E14" t="s">
        <v>59</v>
      </c>
      <c r="F14" t="s">
        <v>63</v>
      </c>
      <c r="I14" t="s">
        <v>64</v>
      </c>
      <c r="J14" t="s">
        <v>589</v>
      </c>
      <c r="K14">
        <v>12</v>
      </c>
      <c r="L14" t="s">
        <v>25</v>
      </c>
      <c r="M14">
        <v>0</v>
      </c>
      <c r="N14">
        <v>12</v>
      </c>
      <c r="O14">
        <v>12</v>
      </c>
      <c r="P14">
        <v>3</v>
      </c>
      <c r="Q14">
        <v>0</v>
      </c>
      <c r="R14">
        <v>4</v>
      </c>
      <c r="S14">
        <v>4</v>
      </c>
      <c r="T14">
        <v>4</v>
      </c>
      <c r="U14">
        <v>0</v>
      </c>
      <c r="W14" t="s">
        <v>27</v>
      </c>
    </row>
    <row r="15" spans="1:24" x14ac:dyDescent="0.3">
      <c r="A15" t="s">
        <v>22</v>
      </c>
      <c r="B15" t="s">
        <v>28</v>
      </c>
      <c r="C15" t="s">
        <v>58</v>
      </c>
      <c r="D15">
        <v>3</v>
      </c>
      <c r="E15" t="s">
        <v>59</v>
      </c>
      <c r="F15" t="s">
        <v>65</v>
      </c>
      <c r="I15" t="s">
        <v>66</v>
      </c>
      <c r="J15" t="s">
        <v>591</v>
      </c>
      <c r="K15">
        <v>9</v>
      </c>
      <c r="L15" t="s">
        <v>25</v>
      </c>
      <c r="M15">
        <v>0</v>
      </c>
      <c r="N15">
        <v>9</v>
      </c>
      <c r="O15">
        <v>9</v>
      </c>
      <c r="P15">
        <v>3</v>
      </c>
      <c r="Q15">
        <v>0</v>
      </c>
      <c r="R15">
        <v>3</v>
      </c>
      <c r="S15">
        <v>3</v>
      </c>
      <c r="T15">
        <v>3</v>
      </c>
      <c r="U15">
        <v>0</v>
      </c>
      <c r="W15" t="s">
        <v>67</v>
      </c>
    </row>
    <row r="16" spans="1:24" x14ac:dyDescent="0.3">
      <c r="A16" t="s">
        <v>22</v>
      </c>
      <c r="B16" t="s">
        <v>28</v>
      </c>
      <c r="C16" t="s">
        <v>58</v>
      </c>
      <c r="D16">
        <v>4</v>
      </c>
      <c r="E16" t="s">
        <v>59</v>
      </c>
      <c r="F16" t="s">
        <v>68</v>
      </c>
      <c r="I16" t="s">
        <v>69</v>
      </c>
      <c r="J16" t="s">
        <v>592</v>
      </c>
      <c r="K16">
        <v>6</v>
      </c>
      <c r="L16" t="s">
        <v>25</v>
      </c>
      <c r="M16">
        <v>0</v>
      </c>
      <c r="N16">
        <v>6</v>
      </c>
      <c r="O16">
        <v>6</v>
      </c>
      <c r="P16">
        <v>3</v>
      </c>
      <c r="Q16">
        <v>0</v>
      </c>
      <c r="R16">
        <v>2</v>
      </c>
      <c r="S16">
        <v>2</v>
      </c>
      <c r="T16">
        <v>2</v>
      </c>
      <c r="U16">
        <v>0</v>
      </c>
      <c r="W16" t="s">
        <v>67</v>
      </c>
    </row>
    <row r="17" spans="1:23" x14ac:dyDescent="0.3">
      <c r="A17" t="s">
        <v>22</v>
      </c>
      <c r="B17" t="s">
        <v>28</v>
      </c>
      <c r="C17" t="s">
        <v>58</v>
      </c>
      <c r="D17">
        <v>5</v>
      </c>
      <c r="E17" t="s">
        <v>59</v>
      </c>
      <c r="F17" t="s">
        <v>70</v>
      </c>
      <c r="I17" t="s">
        <v>71</v>
      </c>
      <c r="J17" t="s">
        <v>589</v>
      </c>
      <c r="K17">
        <v>12</v>
      </c>
      <c r="L17" t="s">
        <v>25</v>
      </c>
      <c r="M17">
        <v>0</v>
      </c>
      <c r="N17">
        <v>12</v>
      </c>
      <c r="O17">
        <v>12</v>
      </c>
      <c r="P17">
        <v>3</v>
      </c>
      <c r="Q17">
        <v>0</v>
      </c>
      <c r="R17">
        <v>4</v>
      </c>
      <c r="S17">
        <v>4</v>
      </c>
      <c r="T17">
        <v>4</v>
      </c>
      <c r="U17">
        <v>0</v>
      </c>
      <c r="W17" t="s">
        <v>27</v>
      </c>
    </row>
    <row r="18" spans="1:23" x14ac:dyDescent="0.3">
      <c r="A18" t="s">
        <v>22</v>
      </c>
      <c r="B18" t="s">
        <v>28</v>
      </c>
      <c r="C18" t="s">
        <v>58</v>
      </c>
      <c r="D18">
        <v>6</v>
      </c>
      <c r="E18" t="s">
        <v>59</v>
      </c>
      <c r="F18" t="s">
        <v>72</v>
      </c>
      <c r="I18" t="s">
        <v>73</v>
      </c>
      <c r="J18" t="s">
        <v>593</v>
      </c>
      <c r="K18">
        <v>3</v>
      </c>
      <c r="L18" t="s">
        <v>25</v>
      </c>
      <c r="M18">
        <v>0</v>
      </c>
      <c r="N18">
        <v>3</v>
      </c>
      <c r="O18">
        <v>3</v>
      </c>
      <c r="P18">
        <v>3</v>
      </c>
      <c r="Q18">
        <v>0</v>
      </c>
      <c r="R18">
        <v>1</v>
      </c>
      <c r="S18">
        <v>1</v>
      </c>
      <c r="T18">
        <v>1</v>
      </c>
      <c r="U18">
        <v>0</v>
      </c>
      <c r="W18" t="s">
        <v>74</v>
      </c>
    </row>
    <row r="19" spans="1:23" x14ac:dyDescent="0.3">
      <c r="A19" t="s">
        <v>22</v>
      </c>
      <c r="B19" t="s">
        <v>28</v>
      </c>
      <c r="C19" t="s">
        <v>58</v>
      </c>
      <c r="D19">
        <v>7</v>
      </c>
      <c r="E19" t="s">
        <v>59</v>
      </c>
      <c r="F19" t="s">
        <v>75</v>
      </c>
      <c r="I19" t="s">
        <v>76</v>
      </c>
      <c r="J19" t="s">
        <v>594</v>
      </c>
      <c r="K19">
        <v>2</v>
      </c>
      <c r="L19" t="s">
        <v>25</v>
      </c>
      <c r="M19">
        <v>0</v>
      </c>
      <c r="N19">
        <v>2</v>
      </c>
      <c r="O19">
        <v>2</v>
      </c>
      <c r="P19">
        <v>3</v>
      </c>
      <c r="Q19">
        <v>0</v>
      </c>
      <c r="R19">
        <v>0.67</v>
      </c>
      <c r="S19">
        <v>0.67</v>
      </c>
      <c r="T19">
        <v>0.66</v>
      </c>
      <c r="U19">
        <v>0</v>
      </c>
      <c r="W19" t="s">
        <v>67</v>
      </c>
    </row>
    <row r="20" spans="1:23" x14ac:dyDescent="0.3">
      <c r="A20" t="s">
        <v>22</v>
      </c>
      <c r="B20" t="s">
        <v>28</v>
      </c>
      <c r="C20" t="s">
        <v>58</v>
      </c>
      <c r="D20">
        <v>8</v>
      </c>
      <c r="E20" t="s">
        <v>59</v>
      </c>
      <c r="F20" t="s">
        <v>77</v>
      </c>
      <c r="I20" t="s">
        <v>78</v>
      </c>
      <c r="J20" t="s">
        <v>593</v>
      </c>
      <c r="K20">
        <v>3</v>
      </c>
      <c r="L20" t="s">
        <v>25</v>
      </c>
      <c r="M20">
        <v>0</v>
      </c>
      <c r="N20">
        <v>3</v>
      </c>
      <c r="O20">
        <v>3</v>
      </c>
      <c r="P20">
        <v>3</v>
      </c>
      <c r="Q20">
        <v>0</v>
      </c>
      <c r="R20">
        <v>1</v>
      </c>
      <c r="S20">
        <v>1</v>
      </c>
      <c r="T20">
        <v>1</v>
      </c>
      <c r="U20">
        <v>0</v>
      </c>
      <c r="W20" t="s">
        <v>27</v>
      </c>
    </row>
    <row r="21" spans="1:23" x14ac:dyDescent="0.3">
      <c r="A21" t="s">
        <v>22</v>
      </c>
      <c r="B21" t="s">
        <v>28</v>
      </c>
      <c r="C21" t="s">
        <v>58</v>
      </c>
      <c r="D21">
        <v>9</v>
      </c>
      <c r="E21" t="s">
        <v>59</v>
      </c>
      <c r="F21" t="s">
        <v>19</v>
      </c>
      <c r="I21" t="s">
        <v>79</v>
      </c>
      <c r="J21" t="s">
        <v>593</v>
      </c>
      <c r="K21">
        <v>3</v>
      </c>
      <c r="L21" t="s">
        <v>25</v>
      </c>
      <c r="M21">
        <v>0</v>
      </c>
      <c r="N21">
        <v>3</v>
      </c>
      <c r="O21">
        <v>3</v>
      </c>
      <c r="P21">
        <v>3</v>
      </c>
      <c r="Q21">
        <v>0</v>
      </c>
      <c r="R21">
        <v>1</v>
      </c>
      <c r="S21">
        <v>1</v>
      </c>
      <c r="T21">
        <v>1</v>
      </c>
      <c r="U21">
        <v>0</v>
      </c>
      <c r="W21" t="s">
        <v>27</v>
      </c>
    </row>
    <row r="22" spans="1:23" x14ac:dyDescent="0.3">
      <c r="A22" t="s">
        <v>22</v>
      </c>
      <c r="B22" t="s">
        <v>28</v>
      </c>
      <c r="C22" t="s">
        <v>58</v>
      </c>
      <c r="D22">
        <v>10</v>
      </c>
      <c r="E22" t="s">
        <v>59</v>
      </c>
      <c r="F22" t="s">
        <v>55</v>
      </c>
      <c r="I22" t="s">
        <v>80</v>
      </c>
      <c r="J22" t="s">
        <v>589</v>
      </c>
      <c r="K22">
        <v>3</v>
      </c>
      <c r="L22" t="s">
        <v>25</v>
      </c>
      <c r="M22">
        <v>0</v>
      </c>
      <c r="N22">
        <v>3</v>
      </c>
      <c r="O22">
        <v>3</v>
      </c>
      <c r="P22">
        <v>3</v>
      </c>
      <c r="Q22">
        <v>0</v>
      </c>
      <c r="R22">
        <v>1</v>
      </c>
      <c r="S22">
        <v>1</v>
      </c>
      <c r="T22">
        <v>1</v>
      </c>
      <c r="U22">
        <v>0</v>
      </c>
      <c r="W22" t="s">
        <v>27</v>
      </c>
    </row>
    <row r="23" spans="1:23" x14ac:dyDescent="0.3">
      <c r="A23" t="s">
        <v>22</v>
      </c>
      <c r="B23" t="s">
        <v>28</v>
      </c>
      <c r="C23" t="s">
        <v>81</v>
      </c>
      <c r="D23">
        <v>1</v>
      </c>
      <c r="E23" t="s">
        <v>82</v>
      </c>
      <c r="F23" t="s">
        <v>31</v>
      </c>
      <c r="G23">
        <v>39</v>
      </c>
      <c r="I23" t="s">
        <v>61</v>
      </c>
      <c r="J23" t="s">
        <v>599</v>
      </c>
      <c r="K23">
        <v>54</v>
      </c>
      <c r="L23" t="s">
        <v>62</v>
      </c>
      <c r="M23">
        <v>6</v>
      </c>
      <c r="N23">
        <v>48</v>
      </c>
      <c r="O23">
        <v>54</v>
      </c>
      <c r="P23">
        <v>3</v>
      </c>
      <c r="Q23">
        <v>0</v>
      </c>
      <c r="R23">
        <v>18</v>
      </c>
      <c r="S23">
        <v>18</v>
      </c>
      <c r="T23">
        <v>18</v>
      </c>
      <c r="U23">
        <v>0</v>
      </c>
      <c r="V23" t="s">
        <v>83</v>
      </c>
      <c r="W23" t="s">
        <v>27</v>
      </c>
    </row>
    <row r="24" spans="1:23" x14ac:dyDescent="0.3">
      <c r="A24" t="s">
        <v>22</v>
      </c>
      <c r="B24" t="s">
        <v>28</v>
      </c>
      <c r="C24" t="s">
        <v>81</v>
      </c>
      <c r="D24">
        <v>2</v>
      </c>
      <c r="E24" t="s">
        <v>82</v>
      </c>
      <c r="F24" t="s">
        <v>70</v>
      </c>
      <c r="I24" t="s">
        <v>84</v>
      </c>
      <c r="J24" t="s">
        <v>600</v>
      </c>
      <c r="K24">
        <v>9</v>
      </c>
      <c r="L24" t="s">
        <v>25</v>
      </c>
      <c r="M24">
        <v>0</v>
      </c>
      <c r="N24">
        <v>9</v>
      </c>
      <c r="O24">
        <v>9</v>
      </c>
      <c r="P24">
        <v>3</v>
      </c>
      <c r="Q24">
        <v>0</v>
      </c>
      <c r="R24">
        <v>3</v>
      </c>
      <c r="S24">
        <v>3</v>
      </c>
      <c r="T24">
        <v>3</v>
      </c>
      <c r="U24">
        <v>0</v>
      </c>
      <c r="W24" t="s">
        <v>27</v>
      </c>
    </row>
    <row r="25" spans="1:23" x14ac:dyDescent="0.3">
      <c r="A25" t="s">
        <v>22</v>
      </c>
      <c r="B25" t="s">
        <v>28</v>
      </c>
      <c r="C25" t="s">
        <v>81</v>
      </c>
      <c r="D25">
        <v>3</v>
      </c>
      <c r="E25" t="s">
        <v>82</v>
      </c>
      <c r="F25" t="s">
        <v>85</v>
      </c>
      <c r="I25" t="s">
        <v>86</v>
      </c>
      <c r="J25" t="s">
        <v>601</v>
      </c>
      <c r="K25">
        <v>2</v>
      </c>
      <c r="L25" t="s">
        <v>25</v>
      </c>
      <c r="M25">
        <v>0</v>
      </c>
      <c r="N25">
        <v>2</v>
      </c>
      <c r="O25">
        <v>2</v>
      </c>
      <c r="P25">
        <v>3</v>
      </c>
      <c r="Q25">
        <v>0</v>
      </c>
      <c r="R25">
        <v>0.67</v>
      </c>
      <c r="S25">
        <v>0.67</v>
      </c>
      <c r="T25">
        <v>0.66</v>
      </c>
      <c r="U25">
        <v>0</v>
      </c>
      <c r="W25" t="s">
        <v>87</v>
      </c>
    </row>
    <row r="26" spans="1:23" x14ac:dyDescent="0.3">
      <c r="A26" t="s">
        <v>22</v>
      </c>
      <c r="B26" t="s">
        <v>28</v>
      </c>
      <c r="C26" t="s">
        <v>81</v>
      </c>
      <c r="D26">
        <v>4</v>
      </c>
      <c r="E26" t="s">
        <v>82</v>
      </c>
      <c r="F26" t="s">
        <v>63</v>
      </c>
      <c r="I26" t="s">
        <v>88</v>
      </c>
      <c r="J26" t="s">
        <v>603</v>
      </c>
      <c r="K26">
        <v>6</v>
      </c>
      <c r="L26" t="s">
        <v>25</v>
      </c>
      <c r="M26">
        <v>0</v>
      </c>
      <c r="N26">
        <v>6</v>
      </c>
      <c r="O26">
        <v>6</v>
      </c>
      <c r="P26">
        <v>3</v>
      </c>
      <c r="Q26">
        <v>0</v>
      </c>
      <c r="R26">
        <v>2</v>
      </c>
      <c r="S26">
        <v>2</v>
      </c>
      <c r="T26">
        <v>2</v>
      </c>
      <c r="U26">
        <v>0</v>
      </c>
      <c r="W26" t="s">
        <v>27</v>
      </c>
    </row>
    <row r="27" spans="1:23" x14ac:dyDescent="0.3">
      <c r="A27" t="s">
        <v>22</v>
      </c>
      <c r="B27" t="s">
        <v>28</v>
      </c>
      <c r="C27" t="s">
        <v>81</v>
      </c>
      <c r="D27">
        <v>5</v>
      </c>
      <c r="E27" t="s">
        <v>82</v>
      </c>
      <c r="F27" t="s">
        <v>89</v>
      </c>
      <c r="I27" t="s">
        <v>90</v>
      </c>
      <c r="J27" t="s">
        <v>600</v>
      </c>
      <c r="K27">
        <v>9</v>
      </c>
      <c r="L27" t="s">
        <v>25</v>
      </c>
      <c r="M27">
        <v>0</v>
      </c>
      <c r="N27">
        <v>9</v>
      </c>
      <c r="O27">
        <v>9</v>
      </c>
      <c r="P27">
        <v>3</v>
      </c>
      <c r="Q27">
        <v>0</v>
      </c>
      <c r="R27">
        <v>3</v>
      </c>
      <c r="S27">
        <v>3</v>
      </c>
      <c r="T27">
        <v>3</v>
      </c>
      <c r="U27">
        <v>0</v>
      </c>
      <c r="W27" t="s">
        <v>67</v>
      </c>
    </row>
    <row r="28" spans="1:23" x14ac:dyDescent="0.3">
      <c r="A28" t="s">
        <v>22</v>
      </c>
      <c r="B28" t="s">
        <v>28</v>
      </c>
      <c r="C28" t="s">
        <v>81</v>
      </c>
      <c r="D28">
        <v>6</v>
      </c>
      <c r="E28" t="s">
        <v>82</v>
      </c>
      <c r="F28" t="s">
        <v>91</v>
      </c>
      <c r="I28" t="s">
        <v>92</v>
      </c>
      <c r="J28" t="s">
        <v>603</v>
      </c>
      <c r="K28">
        <v>6</v>
      </c>
      <c r="L28" t="s">
        <v>25</v>
      </c>
      <c r="M28">
        <v>0</v>
      </c>
      <c r="N28">
        <v>6</v>
      </c>
      <c r="O28">
        <v>6</v>
      </c>
      <c r="P28">
        <v>3</v>
      </c>
      <c r="Q28">
        <v>0</v>
      </c>
      <c r="R28">
        <v>2</v>
      </c>
      <c r="S28">
        <v>2</v>
      </c>
      <c r="T28">
        <v>2</v>
      </c>
      <c r="U28">
        <v>0</v>
      </c>
      <c r="W28" t="s">
        <v>67</v>
      </c>
    </row>
    <row r="29" spans="1:23" x14ac:dyDescent="0.3">
      <c r="A29" t="s">
        <v>22</v>
      </c>
      <c r="B29" t="s">
        <v>28</v>
      </c>
      <c r="C29" t="s">
        <v>81</v>
      </c>
      <c r="D29">
        <v>7</v>
      </c>
      <c r="E29" t="s">
        <v>82</v>
      </c>
      <c r="F29" t="s">
        <v>93</v>
      </c>
      <c r="I29" t="s">
        <v>94</v>
      </c>
      <c r="J29" t="s">
        <v>604</v>
      </c>
      <c r="K29">
        <v>1</v>
      </c>
      <c r="L29" t="s">
        <v>25</v>
      </c>
      <c r="M29">
        <v>0</v>
      </c>
      <c r="N29">
        <v>1</v>
      </c>
      <c r="O29">
        <v>1</v>
      </c>
      <c r="P29">
        <v>3</v>
      </c>
      <c r="Q29">
        <v>0</v>
      </c>
      <c r="R29">
        <v>0.33</v>
      </c>
      <c r="S29">
        <v>0.33</v>
      </c>
      <c r="T29">
        <v>0.34</v>
      </c>
      <c r="U29">
        <v>0</v>
      </c>
      <c r="W29" t="s">
        <v>67</v>
      </c>
    </row>
    <row r="30" spans="1:23" x14ac:dyDescent="0.3">
      <c r="A30" t="s">
        <v>22</v>
      </c>
      <c r="B30" t="s">
        <v>28</v>
      </c>
      <c r="C30" t="s">
        <v>81</v>
      </c>
      <c r="D30">
        <v>8</v>
      </c>
      <c r="E30" t="s">
        <v>82</v>
      </c>
      <c r="F30" t="s">
        <v>95</v>
      </c>
      <c r="I30" t="s">
        <v>96</v>
      </c>
      <c r="J30" t="s">
        <v>605</v>
      </c>
      <c r="K30">
        <v>4</v>
      </c>
      <c r="L30" t="s">
        <v>25</v>
      </c>
      <c r="M30">
        <v>0</v>
      </c>
      <c r="N30">
        <v>4</v>
      </c>
      <c r="O30">
        <v>4</v>
      </c>
      <c r="P30">
        <v>3</v>
      </c>
      <c r="Q30">
        <v>0</v>
      </c>
      <c r="R30">
        <v>1.33</v>
      </c>
      <c r="S30">
        <v>1.33</v>
      </c>
      <c r="T30">
        <v>1.34</v>
      </c>
      <c r="U30">
        <v>0</v>
      </c>
      <c r="W30" t="s">
        <v>74</v>
      </c>
    </row>
    <row r="31" spans="1:23" x14ac:dyDescent="0.3">
      <c r="A31" t="s">
        <v>22</v>
      </c>
      <c r="B31" t="s">
        <v>28</v>
      </c>
      <c r="C31" t="s">
        <v>81</v>
      </c>
      <c r="D31">
        <v>9</v>
      </c>
      <c r="E31" t="s">
        <v>82</v>
      </c>
      <c r="F31" t="s">
        <v>77</v>
      </c>
      <c r="I31" t="s">
        <v>97</v>
      </c>
      <c r="J31" t="s">
        <v>606</v>
      </c>
      <c r="K31">
        <v>3</v>
      </c>
      <c r="L31" t="s">
        <v>25</v>
      </c>
      <c r="M31">
        <v>0</v>
      </c>
      <c r="N31">
        <v>3</v>
      </c>
      <c r="O31">
        <v>3</v>
      </c>
      <c r="P31">
        <v>3</v>
      </c>
      <c r="Q31">
        <v>0</v>
      </c>
      <c r="R31">
        <v>1</v>
      </c>
      <c r="S31">
        <v>1</v>
      </c>
      <c r="T31">
        <v>1</v>
      </c>
      <c r="U31">
        <v>0</v>
      </c>
      <c r="W31" t="s">
        <v>27</v>
      </c>
    </row>
    <row r="32" spans="1:23" x14ac:dyDescent="0.3">
      <c r="A32" t="s">
        <v>22</v>
      </c>
      <c r="B32" t="s">
        <v>28</v>
      </c>
      <c r="C32" t="s">
        <v>81</v>
      </c>
      <c r="D32">
        <v>10</v>
      </c>
      <c r="E32" t="s">
        <v>82</v>
      </c>
      <c r="F32" t="s">
        <v>57</v>
      </c>
      <c r="I32" t="s">
        <v>98</v>
      </c>
      <c r="J32" t="s">
        <v>606</v>
      </c>
      <c r="K32">
        <v>3</v>
      </c>
      <c r="L32" t="s">
        <v>25</v>
      </c>
      <c r="M32">
        <v>0</v>
      </c>
      <c r="N32">
        <v>3</v>
      </c>
      <c r="O32">
        <v>3</v>
      </c>
      <c r="P32">
        <v>3</v>
      </c>
      <c r="Q32">
        <v>0</v>
      </c>
      <c r="R32">
        <v>1</v>
      </c>
      <c r="S32">
        <v>1</v>
      </c>
      <c r="T32">
        <v>1</v>
      </c>
      <c r="U32">
        <v>0</v>
      </c>
      <c r="W32" t="s">
        <v>27</v>
      </c>
    </row>
    <row r="33" spans="1:23" x14ac:dyDescent="0.3">
      <c r="A33" t="s">
        <v>22</v>
      </c>
      <c r="B33" t="s">
        <v>28</v>
      </c>
      <c r="C33" t="s">
        <v>81</v>
      </c>
      <c r="D33">
        <v>11</v>
      </c>
      <c r="E33" t="s">
        <v>82</v>
      </c>
      <c r="F33" t="s">
        <v>55</v>
      </c>
      <c r="I33" t="s">
        <v>99</v>
      </c>
      <c r="J33" t="s">
        <v>606</v>
      </c>
      <c r="K33">
        <v>3</v>
      </c>
      <c r="L33" t="s">
        <v>25</v>
      </c>
      <c r="M33">
        <v>0</v>
      </c>
      <c r="N33">
        <v>3</v>
      </c>
      <c r="O33">
        <v>3</v>
      </c>
      <c r="P33">
        <v>3</v>
      </c>
      <c r="Q33">
        <v>0</v>
      </c>
      <c r="R33">
        <v>1</v>
      </c>
      <c r="S33">
        <v>1</v>
      </c>
      <c r="T33">
        <v>1</v>
      </c>
      <c r="U33">
        <v>0</v>
      </c>
      <c r="W33" t="s">
        <v>27</v>
      </c>
    </row>
    <row r="34" spans="1:23" x14ac:dyDescent="0.3">
      <c r="A34" t="s">
        <v>22</v>
      </c>
      <c r="B34" t="s">
        <v>28</v>
      </c>
      <c r="C34" t="s">
        <v>58</v>
      </c>
      <c r="D34">
        <v>1</v>
      </c>
      <c r="E34" t="s">
        <v>100</v>
      </c>
      <c r="F34" t="s">
        <v>31</v>
      </c>
      <c r="H34">
        <v>650</v>
      </c>
      <c r="I34" t="s">
        <v>102</v>
      </c>
      <c r="J34" t="s">
        <v>595</v>
      </c>
      <c r="K34">
        <v>33</v>
      </c>
      <c r="L34" t="s">
        <v>25</v>
      </c>
      <c r="M34">
        <v>0</v>
      </c>
      <c r="N34">
        <v>33</v>
      </c>
      <c r="O34">
        <v>33</v>
      </c>
      <c r="P34">
        <v>3</v>
      </c>
      <c r="Q34">
        <v>0</v>
      </c>
      <c r="R34">
        <v>11</v>
      </c>
      <c r="S34">
        <v>11</v>
      </c>
      <c r="T34">
        <v>11</v>
      </c>
      <c r="U34">
        <v>0</v>
      </c>
      <c r="V34" t="s">
        <v>101</v>
      </c>
      <c r="W34" t="s">
        <v>27</v>
      </c>
    </row>
    <row r="35" spans="1:23" x14ac:dyDescent="0.3">
      <c r="A35" t="s">
        <v>22</v>
      </c>
      <c r="B35" t="s">
        <v>28</v>
      </c>
      <c r="C35" t="s">
        <v>58</v>
      </c>
      <c r="D35">
        <v>2</v>
      </c>
      <c r="E35" t="s">
        <v>100</v>
      </c>
      <c r="F35" t="s">
        <v>103</v>
      </c>
      <c r="I35" t="s">
        <v>104</v>
      </c>
      <c r="J35" t="s">
        <v>596</v>
      </c>
      <c r="K35">
        <v>2.5</v>
      </c>
      <c r="L35" t="s">
        <v>25</v>
      </c>
      <c r="M35">
        <v>0</v>
      </c>
      <c r="N35">
        <v>2.5</v>
      </c>
      <c r="O35">
        <v>2.5</v>
      </c>
      <c r="P35">
        <v>3</v>
      </c>
      <c r="Q35">
        <v>0</v>
      </c>
      <c r="R35">
        <v>0.83</v>
      </c>
      <c r="S35">
        <v>0.83</v>
      </c>
      <c r="T35">
        <v>0.84</v>
      </c>
      <c r="U35">
        <v>0</v>
      </c>
      <c r="W35" t="s">
        <v>67</v>
      </c>
    </row>
    <row r="36" spans="1:23" x14ac:dyDescent="0.3">
      <c r="A36" t="s">
        <v>22</v>
      </c>
      <c r="B36" t="s">
        <v>28</v>
      </c>
      <c r="C36" t="s">
        <v>58</v>
      </c>
      <c r="D36">
        <v>3</v>
      </c>
      <c r="E36" t="s">
        <v>100</v>
      </c>
      <c r="F36" t="s">
        <v>105</v>
      </c>
      <c r="I36" t="s">
        <v>106</v>
      </c>
      <c r="J36" t="s">
        <v>597</v>
      </c>
      <c r="K36">
        <v>3</v>
      </c>
      <c r="L36" t="s">
        <v>25</v>
      </c>
      <c r="M36">
        <v>0</v>
      </c>
      <c r="N36">
        <v>3</v>
      </c>
      <c r="O36">
        <v>3</v>
      </c>
      <c r="P36">
        <v>3</v>
      </c>
      <c r="Q36">
        <v>0</v>
      </c>
      <c r="R36">
        <v>1</v>
      </c>
      <c r="S36">
        <v>1</v>
      </c>
      <c r="T36">
        <v>1</v>
      </c>
      <c r="U36">
        <v>0</v>
      </c>
      <c r="W36" t="s">
        <v>67</v>
      </c>
    </row>
    <row r="37" spans="1:23" x14ac:dyDescent="0.3">
      <c r="A37" t="s">
        <v>22</v>
      </c>
      <c r="B37" t="s">
        <v>28</v>
      </c>
      <c r="C37" t="s">
        <v>58</v>
      </c>
      <c r="D37">
        <v>4</v>
      </c>
      <c r="E37" t="s">
        <v>100</v>
      </c>
      <c r="F37" t="s">
        <v>19</v>
      </c>
      <c r="I37" t="s">
        <v>107</v>
      </c>
      <c r="J37" t="s">
        <v>597</v>
      </c>
      <c r="K37">
        <v>3</v>
      </c>
      <c r="L37" t="s">
        <v>25</v>
      </c>
      <c r="M37">
        <v>0</v>
      </c>
      <c r="N37">
        <v>3</v>
      </c>
      <c r="O37">
        <v>3</v>
      </c>
      <c r="P37">
        <v>3</v>
      </c>
      <c r="Q37">
        <v>0</v>
      </c>
      <c r="R37">
        <v>1</v>
      </c>
      <c r="S37">
        <v>1</v>
      </c>
      <c r="T37">
        <v>1</v>
      </c>
      <c r="U37">
        <v>0</v>
      </c>
      <c r="W37" t="s">
        <v>27</v>
      </c>
    </row>
    <row r="38" spans="1:23" x14ac:dyDescent="0.3">
      <c r="A38" t="s">
        <v>22</v>
      </c>
      <c r="B38" t="s">
        <v>28</v>
      </c>
      <c r="C38" t="s">
        <v>81</v>
      </c>
      <c r="D38">
        <v>1</v>
      </c>
      <c r="E38" t="s">
        <v>100</v>
      </c>
      <c r="F38" t="s">
        <v>31</v>
      </c>
      <c r="H38">
        <v>780</v>
      </c>
      <c r="I38" t="s">
        <v>109</v>
      </c>
      <c r="J38" t="s">
        <v>602</v>
      </c>
      <c r="K38">
        <v>30</v>
      </c>
      <c r="L38" t="s">
        <v>25</v>
      </c>
      <c r="M38">
        <v>0</v>
      </c>
      <c r="N38">
        <v>30</v>
      </c>
      <c r="O38">
        <v>30</v>
      </c>
      <c r="P38">
        <v>3</v>
      </c>
      <c r="Q38">
        <v>0</v>
      </c>
      <c r="R38">
        <v>10</v>
      </c>
      <c r="S38">
        <v>10</v>
      </c>
      <c r="T38">
        <v>10</v>
      </c>
      <c r="U38">
        <v>0</v>
      </c>
      <c r="V38" t="s">
        <v>108</v>
      </c>
      <c r="W38" t="s">
        <v>27</v>
      </c>
    </row>
    <row r="39" spans="1:23" x14ac:dyDescent="0.3">
      <c r="A39" t="s">
        <v>22</v>
      </c>
      <c r="B39" t="s">
        <v>28</v>
      </c>
      <c r="C39" t="s">
        <v>81</v>
      </c>
      <c r="D39">
        <v>2</v>
      </c>
      <c r="E39" t="s">
        <v>100</v>
      </c>
      <c r="F39" t="s">
        <v>103</v>
      </c>
      <c r="I39" t="s">
        <v>110</v>
      </c>
      <c r="J39" t="s">
        <v>607</v>
      </c>
      <c r="K39">
        <v>3</v>
      </c>
      <c r="L39" t="s">
        <v>25</v>
      </c>
      <c r="M39">
        <v>0</v>
      </c>
      <c r="N39">
        <v>3</v>
      </c>
      <c r="O39">
        <v>3</v>
      </c>
      <c r="P39">
        <v>3</v>
      </c>
      <c r="Q39">
        <v>0</v>
      </c>
      <c r="R39">
        <v>1</v>
      </c>
      <c r="S39">
        <v>1</v>
      </c>
      <c r="T39">
        <v>1</v>
      </c>
      <c r="U39">
        <v>0</v>
      </c>
      <c r="W39" t="s">
        <v>67</v>
      </c>
    </row>
    <row r="40" spans="1:23" x14ac:dyDescent="0.3">
      <c r="A40" t="s">
        <v>22</v>
      </c>
      <c r="B40" t="s">
        <v>28</v>
      </c>
      <c r="C40" t="s">
        <v>81</v>
      </c>
      <c r="D40">
        <v>3</v>
      </c>
      <c r="E40" t="s">
        <v>100</v>
      </c>
      <c r="F40" t="s">
        <v>105</v>
      </c>
      <c r="I40" t="s">
        <v>111</v>
      </c>
      <c r="J40" t="s">
        <v>608</v>
      </c>
      <c r="K40">
        <v>1.5</v>
      </c>
      <c r="L40" t="s">
        <v>25</v>
      </c>
      <c r="M40">
        <v>0</v>
      </c>
      <c r="N40">
        <v>1.5</v>
      </c>
      <c r="O40">
        <v>1.5</v>
      </c>
      <c r="P40">
        <v>3</v>
      </c>
      <c r="Q40">
        <v>0</v>
      </c>
      <c r="R40">
        <v>0.5</v>
      </c>
      <c r="S40">
        <v>0.5</v>
      </c>
      <c r="T40">
        <v>0.5</v>
      </c>
      <c r="U40">
        <v>0</v>
      </c>
      <c r="W40" t="s">
        <v>67</v>
      </c>
    </row>
    <row r="41" spans="1:23" x14ac:dyDescent="0.3">
      <c r="A41" t="s">
        <v>22</v>
      </c>
      <c r="B41" t="s">
        <v>28</v>
      </c>
      <c r="C41" t="s">
        <v>81</v>
      </c>
      <c r="D41">
        <v>4</v>
      </c>
      <c r="E41" t="s">
        <v>100</v>
      </c>
      <c r="F41" t="s">
        <v>19</v>
      </c>
      <c r="I41" t="s">
        <v>110</v>
      </c>
      <c r="J41" t="s">
        <v>607</v>
      </c>
      <c r="K41">
        <v>3</v>
      </c>
      <c r="L41" t="s">
        <v>25</v>
      </c>
      <c r="M41">
        <v>0</v>
      </c>
      <c r="N41">
        <v>3</v>
      </c>
      <c r="O41">
        <v>3</v>
      </c>
      <c r="P41">
        <v>3</v>
      </c>
      <c r="Q41">
        <v>0</v>
      </c>
      <c r="R41">
        <v>1</v>
      </c>
      <c r="S41">
        <v>1</v>
      </c>
      <c r="T41">
        <v>1</v>
      </c>
      <c r="U41">
        <v>0</v>
      </c>
      <c r="W41" t="s">
        <v>27</v>
      </c>
    </row>
    <row r="42" spans="1:23" x14ac:dyDescent="0.3">
      <c r="A42" t="s">
        <v>22</v>
      </c>
      <c r="B42" t="s">
        <v>28</v>
      </c>
      <c r="C42" t="s">
        <v>81</v>
      </c>
      <c r="D42">
        <v>5</v>
      </c>
      <c r="E42" t="s">
        <v>112</v>
      </c>
      <c r="F42" t="s">
        <v>55</v>
      </c>
      <c r="I42" t="s">
        <v>113</v>
      </c>
      <c r="J42" t="s">
        <v>609</v>
      </c>
      <c r="K42">
        <v>3</v>
      </c>
      <c r="L42" t="s">
        <v>25</v>
      </c>
      <c r="M42">
        <v>0</v>
      </c>
      <c r="N42">
        <v>3</v>
      </c>
      <c r="O42">
        <v>3</v>
      </c>
      <c r="P42">
        <v>3</v>
      </c>
      <c r="Q42">
        <v>0</v>
      </c>
      <c r="R42">
        <v>1</v>
      </c>
      <c r="S42">
        <v>1</v>
      </c>
      <c r="T42">
        <v>1</v>
      </c>
      <c r="U42">
        <v>0</v>
      </c>
      <c r="W42" t="s">
        <v>27</v>
      </c>
    </row>
    <row r="43" spans="1:23" x14ac:dyDescent="0.3">
      <c r="A43" t="s">
        <v>22</v>
      </c>
      <c r="B43" t="s">
        <v>28</v>
      </c>
      <c r="C43" t="s">
        <v>114</v>
      </c>
      <c r="D43">
        <v>1</v>
      </c>
      <c r="E43" t="s">
        <v>115</v>
      </c>
      <c r="F43" t="s">
        <v>116</v>
      </c>
      <c r="J43" t="s">
        <v>214</v>
      </c>
      <c r="K43">
        <v>6</v>
      </c>
      <c r="L43" t="s">
        <v>115</v>
      </c>
      <c r="M43">
        <v>6</v>
      </c>
      <c r="N43">
        <v>0</v>
      </c>
      <c r="O43">
        <v>6</v>
      </c>
      <c r="P43">
        <v>3</v>
      </c>
      <c r="Q43">
        <v>0</v>
      </c>
      <c r="R43">
        <v>2</v>
      </c>
      <c r="S43">
        <v>2</v>
      </c>
      <c r="T43">
        <v>2</v>
      </c>
      <c r="U43">
        <v>0</v>
      </c>
      <c r="V43" t="s">
        <v>56</v>
      </c>
    </row>
    <row r="44" spans="1:23" x14ac:dyDescent="0.3">
      <c r="A44" t="s">
        <v>22</v>
      </c>
      <c r="B44" t="s">
        <v>28</v>
      </c>
      <c r="C44" t="s">
        <v>114</v>
      </c>
      <c r="D44">
        <v>2</v>
      </c>
      <c r="E44" t="s">
        <v>115</v>
      </c>
      <c r="F44" t="s">
        <v>117</v>
      </c>
      <c r="J44" t="s">
        <v>374</v>
      </c>
      <c r="K44">
        <v>4</v>
      </c>
      <c r="L44" t="s">
        <v>115</v>
      </c>
      <c r="M44">
        <v>4</v>
      </c>
      <c r="N44">
        <v>0</v>
      </c>
      <c r="O44">
        <v>4</v>
      </c>
      <c r="P44">
        <v>3</v>
      </c>
      <c r="Q44">
        <v>0</v>
      </c>
      <c r="R44">
        <v>1.33</v>
      </c>
      <c r="S44">
        <v>1.33</v>
      </c>
      <c r="T44">
        <v>1.34</v>
      </c>
      <c r="U44">
        <v>0</v>
      </c>
      <c r="V44" t="s">
        <v>56</v>
      </c>
    </row>
    <row r="45" spans="1:23" x14ac:dyDescent="0.3">
      <c r="A45" t="s">
        <v>22</v>
      </c>
      <c r="B45" t="s">
        <v>28</v>
      </c>
      <c r="C45" t="s">
        <v>114</v>
      </c>
      <c r="D45">
        <v>3</v>
      </c>
      <c r="E45" t="s">
        <v>115</v>
      </c>
      <c r="F45" t="s">
        <v>118</v>
      </c>
      <c r="J45" t="s">
        <v>236</v>
      </c>
      <c r="K45">
        <v>1</v>
      </c>
      <c r="L45" t="s">
        <v>115</v>
      </c>
      <c r="M45">
        <v>1</v>
      </c>
      <c r="N45">
        <v>0</v>
      </c>
      <c r="O45">
        <v>1</v>
      </c>
      <c r="P45">
        <v>1</v>
      </c>
      <c r="Q45">
        <v>1</v>
      </c>
      <c r="R45">
        <v>0</v>
      </c>
      <c r="S45">
        <v>0</v>
      </c>
      <c r="T45">
        <v>0</v>
      </c>
      <c r="U45">
        <v>0</v>
      </c>
      <c r="V45" t="s">
        <v>26</v>
      </c>
    </row>
    <row r="46" spans="1:23" x14ac:dyDescent="0.3">
      <c r="A46" t="s">
        <v>22</v>
      </c>
      <c r="B46" t="s">
        <v>28</v>
      </c>
      <c r="C46" t="s">
        <v>114</v>
      </c>
      <c r="D46">
        <v>4</v>
      </c>
      <c r="E46" t="s">
        <v>115</v>
      </c>
      <c r="F46" t="s">
        <v>119</v>
      </c>
      <c r="J46" t="s">
        <v>227</v>
      </c>
      <c r="K46">
        <v>3</v>
      </c>
      <c r="L46" t="s">
        <v>115</v>
      </c>
      <c r="M46">
        <v>3</v>
      </c>
      <c r="N46">
        <v>0</v>
      </c>
      <c r="O46">
        <v>3</v>
      </c>
      <c r="P46">
        <v>3</v>
      </c>
      <c r="Q46">
        <v>0</v>
      </c>
      <c r="R46">
        <v>1</v>
      </c>
      <c r="S46">
        <v>1</v>
      </c>
      <c r="T46">
        <v>1</v>
      </c>
      <c r="U46">
        <v>0</v>
      </c>
      <c r="V46" t="s">
        <v>56</v>
      </c>
    </row>
    <row r="47" spans="1:23" x14ac:dyDescent="0.3">
      <c r="A47" t="s">
        <v>22</v>
      </c>
      <c r="B47" t="s">
        <v>28</v>
      </c>
      <c r="C47" t="s">
        <v>114</v>
      </c>
      <c r="D47">
        <v>5</v>
      </c>
      <c r="E47" t="s">
        <v>115</v>
      </c>
      <c r="F47" t="s">
        <v>120</v>
      </c>
      <c r="J47" t="s">
        <v>610</v>
      </c>
      <c r="K47">
        <v>4</v>
      </c>
      <c r="L47" t="s">
        <v>115</v>
      </c>
      <c r="M47">
        <v>4</v>
      </c>
      <c r="N47">
        <v>0</v>
      </c>
      <c r="O47">
        <v>4</v>
      </c>
      <c r="P47">
        <v>3</v>
      </c>
      <c r="Q47">
        <v>0</v>
      </c>
      <c r="R47">
        <v>1.33</v>
      </c>
      <c r="S47">
        <v>1.33</v>
      </c>
      <c r="T47">
        <v>1.34</v>
      </c>
      <c r="U47">
        <v>0</v>
      </c>
      <c r="V47" t="s">
        <v>56</v>
      </c>
    </row>
    <row r="48" spans="1:23" x14ac:dyDescent="0.3">
      <c r="A48" t="s">
        <v>22</v>
      </c>
      <c r="B48" t="s">
        <v>28</v>
      </c>
      <c r="C48" t="s">
        <v>114</v>
      </c>
      <c r="D48">
        <v>6</v>
      </c>
      <c r="E48" t="s">
        <v>115</v>
      </c>
      <c r="F48" t="s">
        <v>121</v>
      </c>
      <c r="J48" t="s">
        <v>305</v>
      </c>
      <c r="K48">
        <v>2</v>
      </c>
      <c r="L48" t="s">
        <v>115</v>
      </c>
      <c r="M48">
        <v>2</v>
      </c>
      <c r="N48">
        <v>0</v>
      </c>
      <c r="O48">
        <v>2</v>
      </c>
      <c r="P48">
        <v>1</v>
      </c>
      <c r="Q48">
        <v>2</v>
      </c>
      <c r="R48">
        <v>0</v>
      </c>
      <c r="S48">
        <v>0</v>
      </c>
      <c r="T48">
        <v>0</v>
      </c>
      <c r="U48">
        <v>0</v>
      </c>
      <c r="V48" t="s">
        <v>26</v>
      </c>
    </row>
    <row r="49" spans="1:23" x14ac:dyDescent="0.3">
      <c r="A49" t="s">
        <v>22</v>
      </c>
      <c r="B49" t="s">
        <v>28</v>
      </c>
      <c r="C49" t="s">
        <v>114</v>
      </c>
      <c r="D49">
        <v>7</v>
      </c>
      <c r="E49" t="s">
        <v>115</v>
      </c>
      <c r="F49" t="s">
        <v>122</v>
      </c>
      <c r="J49" t="s">
        <v>227</v>
      </c>
      <c r="K49">
        <v>3</v>
      </c>
      <c r="L49" t="s">
        <v>115</v>
      </c>
      <c r="M49">
        <v>3</v>
      </c>
      <c r="N49">
        <v>0</v>
      </c>
      <c r="O49">
        <v>3</v>
      </c>
      <c r="P49">
        <v>3</v>
      </c>
      <c r="Q49">
        <v>0</v>
      </c>
      <c r="R49">
        <v>1</v>
      </c>
      <c r="S49">
        <v>1</v>
      </c>
      <c r="T49">
        <v>1</v>
      </c>
      <c r="U49">
        <v>0</v>
      </c>
      <c r="V49" t="s">
        <v>56</v>
      </c>
    </row>
    <row r="50" spans="1:23" x14ac:dyDescent="0.3">
      <c r="A50" t="s">
        <v>22</v>
      </c>
      <c r="B50" t="s">
        <v>28</v>
      </c>
      <c r="C50" t="s">
        <v>114</v>
      </c>
      <c r="D50">
        <v>8</v>
      </c>
      <c r="E50" t="s">
        <v>115</v>
      </c>
      <c r="F50" t="s">
        <v>123</v>
      </c>
      <c r="J50" t="s">
        <v>305</v>
      </c>
      <c r="K50">
        <v>2</v>
      </c>
      <c r="L50" t="s">
        <v>115</v>
      </c>
      <c r="M50">
        <v>2</v>
      </c>
      <c r="N50">
        <v>0</v>
      </c>
      <c r="O50">
        <v>2</v>
      </c>
      <c r="P50">
        <v>1</v>
      </c>
      <c r="Q50">
        <v>2</v>
      </c>
      <c r="R50">
        <v>0</v>
      </c>
      <c r="S50">
        <v>0</v>
      </c>
      <c r="T50">
        <v>0</v>
      </c>
      <c r="U50">
        <v>0</v>
      </c>
      <c r="V50" t="s">
        <v>26</v>
      </c>
    </row>
    <row r="51" spans="1:23" x14ac:dyDescent="0.3">
      <c r="A51" t="s">
        <v>22</v>
      </c>
      <c r="B51" t="s">
        <v>28</v>
      </c>
      <c r="C51" t="s">
        <v>114</v>
      </c>
      <c r="D51">
        <v>9</v>
      </c>
      <c r="E51" t="s">
        <v>115</v>
      </c>
      <c r="F51" t="s">
        <v>124</v>
      </c>
      <c r="J51" t="s">
        <v>236</v>
      </c>
      <c r="K51">
        <v>1</v>
      </c>
      <c r="L51" t="s">
        <v>115</v>
      </c>
      <c r="M51">
        <v>1</v>
      </c>
      <c r="N51">
        <v>0</v>
      </c>
      <c r="O51">
        <v>1</v>
      </c>
      <c r="P51">
        <v>1</v>
      </c>
      <c r="Q51">
        <v>1</v>
      </c>
      <c r="R51">
        <v>0</v>
      </c>
      <c r="S51">
        <v>0</v>
      </c>
      <c r="T51">
        <v>0</v>
      </c>
      <c r="U51">
        <v>0</v>
      </c>
      <c r="V51" t="s">
        <v>26</v>
      </c>
    </row>
    <row r="52" spans="1:23" x14ac:dyDescent="0.3">
      <c r="A52" t="s">
        <v>22</v>
      </c>
      <c r="B52" t="s">
        <v>28</v>
      </c>
      <c r="C52" t="s">
        <v>114</v>
      </c>
      <c r="D52">
        <v>10</v>
      </c>
      <c r="E52" t="s">
        <v>115</v>
      </c>
      <c r="F52" t="s">
        <v>125</v>
      </c>
      <c r="J52" t="s">
        <v>305</v>
      </c>
      <c r="K52">
        <v>2</v>
      </c>
      <c r="L52" t="s">
        <v>115</v>
      </c>
      <c r="M52">
        <v>2</v>
      </c>
      <c r="N52">
        <v>0</v>
      </c>
      <c r="O52">
        <v>2</v>
      </c>
      <c r="P52">
        <v>1</v>
      </c>
      <c r="Q52">
        <v>2</v>
      </c>
      <c r="R52">
        <v>0</v>
      </c>
      <c r="S52">
        <v>0</v>
      </c>
      <c r="T52">
        <v>0</v>
      </c>
      <c r="U52">
        <v>0</v>
      </c>
      <c r="V52" t="s">
        <v>26</v>
      </c>
    </row>
    <row r="53" spans="1:23" x14ac:dyDescent="0.3">
      <c r="A53" t="s">
        <v>22</v>
      </c>
      <c r="B53" t="s">
        <v>126</v>
      </c>
      <c r="C53" t="s">
        <v>127</v>
      </c>
      <c r="D53">
        <v>1</v>
      </c>
      <c r="E53" t="s">
        <v>128</v>
      </c>
      <c r="F53" t="s">
        <v>31</v>
      </c>
      <c r="G53">
        <v>2</v>
      </c>
      <c r="I53" t="s">
        <v>130</v>
      </c>
      <c r="J53" t="s">
        <v>131</v>
      </c>
      <c r="K53">
        <v>12</v>
      </c>
      <c r="L53" t="s">
        <v>62</v>
      </c>
      <c r="M53">
        <v>10</v>
      </c>
      <c r="N53">
        <v>2</v>
      </c>
      <c r="O53">
        <v>12</v>
      </c>
      <c r="P53">
        <v>3</v>
      </c>
      <c r="Q53">
        <v>0</v>
      </c>
      <c r="R53">
        <v>4</v>
      </c>
      <c r="S53">
        <v>4</v>
      </c>
      <c r="T53">
        <v>4</v>
      </c>
      <c r="U53">
        <v>0</v>
      </c>
      <c r="V53" t="s">
        <v>129</v>
      </c>
      <c r="W53" t="s">
        <v>27</v>
      </c>
    </row>
    <row r="54" spans="1:23" x14ac:dyDescent="0.3">
      <c r="A54" t="s">
        <v>22</v>
      </c>
      <c r="B54" t="s">
        <v>126</v>
      </c>
      <c r="C54" t="s">
        <v>127</v>
      </c>
      <c r="D54">
        <v>2</v>
      </c>
      <c r="E54" t="s">
        <v>132</v>
      </c>
      <c r="F54" t="s">
        <v>31</v>
      </c>
      <c r="G54">
        <v>13</v>
      </c>
      <c r="I54" t="s">
        <v>134</v>
      </c>
      <c r="J54" t="s">
        <v>616</v>
      </c>
      <c r="K54">
        <v>3</v>
      </c>
      <c r="L54" t="s">
        <v>25</v>
      </c>
      <c r="M54">
        <v>0</v>
      </c>
      <c r="N54">
        <v>3</v>
      </c>
      <c r="O54">
        <v>3</v>
      </c>
      <c r="P54">
        <v>3</v>
      </c>
      <c r="Q54">
        <v>0</v>
      </c>
      <c r="R54">
        <v>1</v>
      </c>
      <c r="S54">
        <v>1</v>
      </c>
      <c r="T54">
        <v>1</v>
      </c>
      <c r="U54">
        <v>0</v>
      </c>
      <c r="V54" t="s">
        <v>133</v>
      </c>
      <c r="W54" t="s">
        <v>27</v>
      </c>
    </row>
    <row r="55" spans="1:23" x14ac:dyDescent="0.3">
      <c r="A55" t="s">
        <v>22</v>
      </c>
      <c r="B55" t="s">
        <v>126</v>
      </c>
      <c r="C55" t="s">
        <v>127</v>
      </c>
      <c r="D55">
        <v>3</v>
      </c>
      <c r="E55" t="s">
        <v>135</v>
      </c>
      <c r="F55" t="s">
        <v>31</v>
      </c>
      <c r="G55">
        <v>6</v>
      </c>
      <c r="I55" t="s">
        <v>137</v>
      </c>
      <c r="J55" t="s">
        <v>138</v>
      </c>
      <c r="K55">
        <v>3</v>
      </c>
      <c r="L55" t="s">
        <v>25</v>
      </c>
      <c r="M55">
        <v>0</v>
      </c>
      <c r="N55">
        <v>3</v>
      </c>
      <c r="O55">
        <v>3</v>
      </c>
      <c r="P55">
        <v>3</v>
      </c>
      <c r="Q55">
        <v>0</v>
      </c>
      <c r="R55">
        <v>1</v>
      </c>
      <c r="S55">
        <v>1</v>
      </c>
      <c r="T55">
        <v>1</v>
      </c>
      <c r="U55">
        <v>0</v>
      </c>
      <c r="V55" t="s">
        <v>136</v>
      </c>
      <c r="W55" t="s">
        <v>27</v>
      </c>
    </row>
    <row r="56" spans="1:23" x14ac:dyDescent="0.3">
      <c r="A56" t="s">
        <v>22</v>
      </c>
      <c r="B56" t="s">
        <v>126</v>
      </c>
      <c r="C56" t="s">
        <v>127</v>
      </c>
      <c r="D56">
        <v>4</v>
      </c>
      <c r="E56" t="s">
        <v>43</v>
      </c>
      <c r="F56" t="s">
        <v>31</v>
      </c>
      <c r="G56">
        <v>7</v>
      </c>
      <c r="I56" t="s">
        <v>140</v>
      </c>
      <c r="J56" t="s">
        <v>141</v>
      </c>
      <c r="K56">
        <v>6</v>
      </c>
      <c r="L56" t="s">
        <v>25</v>
      </c>
      <c r="M56">
        <v>0</v>
      </c>
      <c r="N56">
        <v>6</v>
      </c>
      <c r="O56">
        <v>6</v>
      </c>
      <c r="P56">
        <v>3</v>
      </c>
      <c r="Q56">
        <v>0</v>
      </c>
      <c r="R56">
        <v>2</v>
      </c>
      <c r="S56">
        <v>2</v>
      </c>
      <c r="T56">
        <v>2</v>
      </c>
      <c r="U56">
        <v>0</v>
      </c>
      <c r="V56" t="s">
        <v>139</v>
      </c>
      <c r="W56" t="s">
        <v>27</v>
      </c>
    </row>
    <row r="57" spans="1:23" x14ac:dyDescent="0.3">
      <c r="A57" t="s">
        <v>22</v>
      </c>
      <c r="B57" t="s">
        <v>126</v>
      </c>
      <c r="C57" t="s">
        <v>142</v>
      </c>
      <c r="D57">
        <v>5</v>
      </c>
      <c r="E57" t="s">
        <v>143</v>
      </c>
      <c r="F57" t="s">
        <v>31</v>
      </c>
      <c r="I57" t="s">
        <v>140</v>
      </c>
      <c r="J57" t="s">
        <v>305</v>
      </c>
      <c r="K57">
        <v>2</v>
      </c>
      <c r="L57" t="s">
        <v>25</v>
      </c>
      <c r="M57">
        <v>0</v>
      </c>
      <c r="N57">
        <v>2</v>
      </c>
      <c r="O57">
        <v>2</v>
      </c>
      <c r="P57">
        <v>3</v>
      </c>
      <c r="Q57">
        <v>0</v>
      </c>
      <c r="R57">
        <v>0.67</v>
      </c>
      <c r="S57">
        <v>0.67</v>
      </c>
      <c r="T57">
        <v>0.66</v>
      </c>
      <c r="U57">
        <v>0</v>
      </c>
      <c r="W57" t="s">
        <v>27</v>
      </c>
    </row>
    <row r="58" spans="1:23" x14ac:dyDescent="0.3">
      <c r="A58" t="s">
        <v>22</v>
      </c>
      <c r="B58" t="s">
        <v>126</v>
      </c>
      <c r="C58" t="s">
        <v>142</v>
      </c>
      <c r="D58">
        <v>6</v>
      </c>
      <c r="E58" t="s">
        <v>144</v>
      </c>
      <c r="F58" t="s">
        <v>31</v>
      </c>
      <c r="I58" t="s">
        <v>145</v>
      </c>
      <c r="J58" t="s">
        <v>227</v>
      </c>
      <c r="K58">
        <v>3</v>
      </c>
      <c r="L58" t="s">
        <v>25</v>
      </c>
      <c r="M58">
        <v>0</v>
      </c>
      <c r="N58">
        <v>3</v>
      </c>
      <c r="O58">
        <v>3</v>
      </c>
      <c r="P58">
        <v>3</v>
      </c>
      <c r="Q58">
        <v>0</v>
      </c>
      <c r="R58">
        <v>1</v>
      </c>
      <c r="S58">
        <v>1</v>
      </c>
      <c r="T58">
        <v>1</v>
      </c>
      <c r="U58">
        <v>0</v>
      </c>
      <c r="W58" t="s">
        <v>27</v>
      </c>
    </row>
    <row r="59" spans="1:23" x14ac:dyDescent="0.3">
      <c r="A59" t="s">
        <v>22</v>
      </c>
      <c r="B59" t="s">
        <v>126</v>
      </c>
      <c r="C59" t="s">
        <v>126</v>
      </c>
      <c r="D59">
        <v>7</v>
      </c>
      <c r="E59" t="s">
        <v>146</v>
      </c>
      <c r="F59" t="s">
        <v>31</v>
      </c>
      <c r="H59">
        <v>2952</v>
      </c>
      <c r="I59" t="s">
        <v>148</v>
      </c>
      <c r="J59" t="s">
        <v>617</v>
      </c>
      <c r="K59">
        <v>6</v>
      </c>
      <c r="L59" t="s">
        <v>25</v>
      </c>
      <c r="M59">
        <v>0</v>
      </c>
      <c r="N59">
        <v>6</v>
      </c>
      <c r="O59">
        <v>6</v>
      </c>
      <c r="P59">
        <v>3</v>
      </c>
      <c r="Q59">
        <v>0</v>
      </c>
      <c r="R59">
        <v>2</v>
      </c>
      <c r="S59">
        <v>2</v>
      </c>
      <c r="T59">
        <v>2</v>
      </c>
      <c r="U59">
        <v>0</v>
      </c>
      <c r="V59" t="s">
        <v>147</v>
      </c>
      <c r="W59" t="s">
        <v>27</v>
      </c>
    </row>
    <row r="60" spans="1:23" x14ac:dyDescent="0.3">
      <c r="A60" t="s">
        <v>22</v>
      </c>
      <c r="B60" t="s">
        <v>126</v>
      </c>
      <c r="C60" t="s">
        <v>126</v>
      </c>
      <c r="D60">
        <v>8</v>
      </c>
      <c r="E60" t="s">
        <v>146</v>
      </c>
      <c r="F60" t="s">
        <v>50</v>
      </c>
      <c r="I60" t="s">
        <v>149</v>
      </c>
      <c r="J60" t="s">
        <v>617</v>
      </c>
      <c r="K60">
        <v>6</v>
      </c>
      <c r="L60" t="s">
        <v>25</v>
      </c>
      <c r="M60">
        <v>0</v>
      </c>
      <c r="N60">
        <v>6</v>
      </c>
      <c r="O60">
        <v>6</v>
      </c>
      <c r="P60">
        <v>3</v>
      </c>
      <c r="Q60">
        <v>0</v>
      </c>
      <c r="R60">
        <v>2</v>
      </c>
      <c r="S60">
        <v>2</v>
      </c>
      <c r="T60">
        <v>2</v>
      </c>
      <c r="U60">
        <v>0</v>
      </c>
      <c r="W60" t="s">
        <v>27</v>
      </c>
    </row>
    <row r="61" spans="1:23" x14ac:dyDescent="0.3">
      <c r="A61" t="s">
        <v>22</v>
      </c>
      <c r="B61" t="s">
        <v>126</v>
      </c>
      <c r="C61" t="s">
        <v>613</v>
      </c>
      <c r="D61">
        <v>9</v>
      </c>
      <c r="E61" t="s">
        <v>613</v>
      </c>
      <c r="F61" t="s">
        <v>613</v>
      </c>
      <c r="K61">
        <v>3</v>
      </c>
      <c r="M61">
        <v>0</v>
      </c>
      <c r="N61">
        <v>3</v>
      </c>
      <c r="O61">
        <v>3</v>
      </c>
      <c r="P61">
        <v>3</v>
      </c>
      <c r="Q61">
        <v>0</v>
      </c>
      <c r="R61">
        <v>1</v>
      </c>
      <c r="S61">
        <v>1</v>
      </c>
      <c r="T61">
        <v>1</v>
      </c>
      <c r="U61">
        <v>0</v>
      </c>
    </row>
    <row r="62" spans="1:23" x14ac:dyDescent="0.3">
      <c r="A62" t="s">
        <v>22</v>
      </c>
      <c r="B62" t="s">
        <v>126</v>
      </c>
      <c r="C62" t="s">
        <v>614</v>
      </c>
      <c r="D62">
        <v>10</v>
      </c>
      <c r="E62" t="s">
        <v>614</v>
      </c>
      <c r="F62" t="s">
        <v>614</v>
      </c>
      <c r="K62">
        <v>14</v>
      </c>
      <c r="M62">
        <v>0</v>
      </c>
      <c r="N62">
        <v>14</v>
      </c>
      <c r="O62">
        <v>14</v>
      </c>
      <c r="P62">
        <v>3</v>
      </c>
      <c r="Q62">
        <v>0</v>
      </c>
      <c r="R62">
        <v>5</v>
      </c>
      <c r="S62">
        <v>5</v>
      </c>
      <c r="T62">
        <v>4</v>
      </c>
      <c r="U62">
        <v>0</v>
      </c>
    </row>
    <row r="63" spans="1:23" x14ac:dyDescent="0.3">
      <c r="A63" t="s">
        <v>22</v>
      </c>
      <c r="B63" t="s">
        <v>126</v>
      </c>
      <c r="C63" t="s">
        <v>615</v>
      </c>
      <c r="D63">
        <v>11</v>
      </c>
      <c r="E63" t="s">
        <v>615</v>
      </c>
      <c r="F63" t="s">
        <v>615</v>
      </c>
      <c r="K63">
        <v>3</v>
      </c>
      <c r="M63">
        <v>0</v>
      </c>
      <c r="N63">
        <v>3</v>
      </c>
      <c r="O63">
        <v>3</v>
      </c>
      <c r="P63">
        <v>3</v>
      </c>
      <c r="Q63">
        <v>0</v>
      </c>
      <c r="R63">
        <v>1</v>
      </c>
      <c r="S63">
        <v>1</v>
      </c>
      <c r="T63">
        <v>1</v>
      </c>
      <c r="U63">
        <v>0</v>
      </c>
    </row>
    <row r="64" spans="1:23" x14ac:dyDescent="0.3">
      <c r="A64" t="s">
        <v>22</v>
      </c>
      <c r="B64" t="s">
        <v>28</v>
      </c>
      <c r="C64" t="s">
        <v>150</v>
      </c>
      <c r="D64">
        <v>1</v>
      </c>
      <c r="E64" t="s">
        <v>618</v>
      </c>
      <c r="F64" t="s">
        <v>151</v>
      </c>
      <c r="I64" t="s">
        <v>619</v>
      </c>
      <c r="J64" t="s">
        <v>305</v>
      </c>
      <c r="K64">
        <v>2</v>
      </c>
      <c r="L64" t="s">
        <v>25</v>
      </c>
      <c r="M64">
        <v>0</v>
      </c>
      <c r="N64">
        <v>2</v>
      </c>
      <c r="O64">
        <v>2</v>
      </c>
      <c r="P64">
        <v>1</v>
      </c>
      <c r="Q64">
        <v>2</v>
      </c>
      <c r="R64">
        <v>0</v>
      </c>
      <c r="S64">
        <v>0</v>
      </c>
      <c r="T64">
        <v>0</v>
      </c>
      <c r="U64">
        <v>0</v>
      </c>
      <c r="V64" t="s">
        <v>26</v>
      </c>
      <c r="W64" t="s">
        <v>152</v>
      </c>
    </row>
    <row r="65" spans="1:23" x14ac:dyDescent="0.3">
      <c r="A65" t="s">
        <v>22</v>
      </c>
      <c r="B65" t="s">
        <v>28</v>
      </c>
      <c r="C65" t="s">
        <v>150</v>
      </c>
      <c r="D65">
        <v>2</v>
      </c>
      <c r="E65" t="s">
        <v>30</v>
      </c>
      <c r="F65" t="s">
        <v>31</v>
      </c>
      <c r="H65">
        <v>8</v>
      </c>
      <c r="I65" t="s">
        <v>154</v>
      </c>
      <c r="J65" t="s">
        <v>620</v>
      </c>
      <c r="K65">
        <v>12</v>
      </c>
      <c r="L65" t="s">
        <v>25</v>
      </c>
      <c r="M65">
        <v>0</v>
      </c>
      <c r="N65">
        <v>12</v>
      </c>
      <c r="O65">
        <v>12</v>
      </c>
      <c r="P65">
        <v>3</v>
      </c>
      <c r="Q65">
        <v>0</v>
      </c>
      <c r="R65">
        <v>4</v>
      </c>
      <c r="S65">
        <v>4</v>
      </c>
      <c r="T65">
        <v>4</v>
      </c>
      <c r="U65">
        <v>0</v>
      </c>
      <c r="V65" t="s">
        <v>153</v>
      </c>
      <c r="W65" t="s">
        <v>27</v>
      </c>
    </row>
    <row r="66" spans="1:23" x14ac:dyDescent="0.3">
      <c r="A66" t="s">
        <v>22</v>
      </c>
      <c r="B66" t="s">
        <v>28</v>
      </c>
      <c r="C66" t="s">
        <v>150</v>
      </c>
      <c r="D66">
        <v>3</v>
      </c>
      <c r="E66" t="s">
        <v>132</v>
      </c>
      <c r="F66" t="s">
        <v>31</v>
      </c>
      <c r="G66">
        <v>56</v>
      </c>
      <c r="I66" t="s">
        <v>155</v>
      </c>
      <c r="J66" t="s">
        <v>156</v>
      </c>
      <c r="K66">
        <v>6</v>
      </c>
      <c r="L66" t="s">
        <v>25</v>
      </c>
      <c r="M66">
        <v>0</v>
      </c>
      <c r="N66">
        <v>6</v>
      </c>
      <c r="O66">
        <v>6</v>
      </c>
      <c r="P66">
        <v>3</v>
      </c>
      <c r="Q66">
        <v>0</v>
      </c>
      <c r="R66">
        <v>2</v>
      </c>
      <c r="S66">
        <v>2</v>
      </c>
      <c r="T66">
        <v>2</v>
      </c>
      <c r="U66">
        <v>0</v>
      </c>
      <c r="W66" t="s">
        <v>27</v>
      </c>
    </row>
    <row r="67" spans="1:23" x14ac:dyDescent="0.3">
      <c r="A67" t="s">
        <v>22</v>
      </c>
      <c r="B67" t="s">
        <v>28</v>
      </c>
      <c r="C67" t="s">
        <v>150</v>
      </c>
      <c r="D67">
        <v>4</v>
      </c>
      <c r="E67" t="s">
        <v>157</v>
      </c>
      <c r="F67" t="s">
        <v>31</v>
      </c>
      <c r="G67">
        <v>17</v>
      </c>
      <c r="I67" t="s">
        <v>158</v>
      </c>
      <c r="J67" t="s">
        <v>159</v>
      </c>
      <c r="K67">
        <v>15</v>
      </c>
      <c r="L67" t="s">
        <v>25</v>
      </c>
      <c r="M67">
        <v>0</v>
      </c>
      <c r="N67">
        <v>15</v>
      </c>
      <c r="O67">
        <v>15</v>
      </c>
      <c r="P67">
        <v>3</v>
      </c>
      <c r="Q67">
        <v>0</v>
      </c>
      <c r="R67">
        <v>5</v>
      </c>
      <c r="S67">
        <v>5</v>
      </c>
      <c r="T67">
        <v>5</v>
      </c>
      <c r="U67">
        <v>0</v>
      </c>
      <c r="W67" t="s">
        <v>27</v>
      </c>
    </row>
    <row r="68" spans="1:23" x14ac:dyDescent="0.3">
      <c r="A68" t="s">
        <v>22</v>
      </c>
      <c r="B68" t="s">
        <v>28</v>
      </c>
      <c r="C68" t="s">
        <v>150</v>
      </c>
      <c r="D68">
        <v>5</v>
      </c>
      <c r="E68" t="s">
        <v>160</v>
      </c>
      <c r="F68" t="s">
        <v>31</v>
      </c>
      <c r="G68">
        <v>20</v>
      </c>
      <c r="I68" t="s">
        <v>161</v>
      </c>
      <c r="J68" t="s">
        <v>621</v>
      </c>
      <c r="K68">
        <v>9</v>
      </c>
      <c r="L68" t="s">
        <v>25</v>
      </c>
      <c r="M68">
        <v>0</v>
      </c>
      <c r="N68">
        <v>9</v>
      </c>
      <c r="O68">
        <v>9</v>
      </c>
      <c r="P68">
        <v>3</v>
      </c>
      <c r="Q68">
        <v>0</v>
      </c>
      <c r="R68">
        <v>3</v>
      </c>
      <c r="S68">
        <v>3</v>
      </c>
      <c r="T68">
        <v>3</v>
      </c>
      <c r="U68">
        <v>0</v>
      </c>
      <c r="V68" t="s">
        <v>162</v>
      </c>
      <c r="W68" t="s">
        <v>27</v>
      </c>
    </row>
    <row r="69" spans="1:23" x14ac:dyDescent="0.3">
      <c r="A69" t="s">
        <v>22</v>
      </c>
      <c r="B69" t="s">
        <v>28</v>
      </c>
      <c r="C69" t="s">
        <v>150</v>
      </c>
      <c r="D69">
        <v>6</v>
      </c>
      <c r="E69" t="s">
        <v>163</v>
      </c>
      <c r="F69" t="s">
        <v>31</v>
      </c>
      <c r="G69">
        <v>20</v>
      </c>
      <c r="I69" t="s">
        <v>161</v>
      </c>
      <c r="J69" t="s">
        <v>621</v>
      </c>
      <c r="K69">
        <v>9</v>
      </c>
      <c r="L69" t="s">
        <v>25</v>
      </c>
      <c r="M69">
        <v>0</v>
      </c>
      <c r="N69">
        <v>9</v>
      </c>
      <c r="O69">
        <v>9</v>
      </c>
      <c r="P69">
        <v>3</v>
      </c>
      <c r="Q69">
        <v>0</v>
      </c>
      <c r="R69">
        <v>3</v>
      </c>
      <c r="S69">
        <v>3</v>
      </c>
      <c r="T69">
        <v>3</v>
      </c>
      <c r="U69">
        <v>0</v>
      </c>
      <c r="V69" t="s">
        <v>162</v>
      </c>
      <c r="W69" t="s">
        <v>27</v>
      </c>
    </row>
    <row r="70" spans="1:23" x14ac:dyDescent="0.3">
      <c r="A70" t="s">
        <v>22</v>
      </c>
      <c r="B70" t="s">
        <v>28</v>
      </c>
      <c r="C70" t="s">
        <v>150</v>
      </c>
      <c r="D70">
        <v>7</v>
      </c>
      <c r="E70" t="s">
        <v>164</v>
      </c>
      <c r="F70" t="s">
        <v>31</v>
      </c>
      <c r="G70">
        <v>20</v>
      </c>
      <c r="I70" t="s">
        <v>161</v>
      </c>
      <c r="J70" t="s">
        <v>622</v>
      </c>
      <c r="K70">
        <v>15</v>
      </c>
      <c r="L70" t="s">
        <v>25</v>
      </c>
      <c r="M70">
        <v>0</v>
      </c>
      <c r="N70">
        <v>15</v>
      </c>
      <c r="O70">
        <v>15</v>
      </c>
      <c r="P70">
        <v>3</v>
      </c>
      <c r="Q70">
        <v>0</v>
      </c>
      <c r="R70">
        <v>5</v>
      </c>
      <c r="S70">
        <v>5</v>
      </c>
      <c r="T70">
        <v>5</v>
      </c>
      <c r="U70">
        <v>0</v>
      </c>
      <c r="V70" t="s">
        <v>165</v>
      </c>
      <c r="W70" t="s">
        <v>27</v>
      </c>
    </row>
    <row r="71" spans="1:23" x14ac:dyDescent="0.3">
      <c r="A71" t="s">
        <v>22</v>
      </c>
      <c r="B71" t="s">
        <v>28</v>
      </c>
      <c r="C71" t="s">
        <v>150</v>
      </c>
      <c r="D71">
        <v>8</v>
      </c>
      <c r="E71" t="s">
        <v>164</v>
      </c>
      <c r="F71" t="s">
        <v>55</v>
      </c>
      <c r="I71" t="s">
        <v>294</v>
      </c>
      <c r="J71" t="s">
        <v>227</v>
      </c>
      <c r="K71">
        <v>3</v>
      </c>
      <c r="L71" t="s">
        <v>25</v>
      </c>
      <c r="M71">
        <v>0</v>
      </c>
      <c r="N71">
        <v>3</v>
      </c>
      <c r="O71">
        <v>3</v>
      </c>
      <c r="P71">
        <v>3</v>
      </c>
      <c r="Q71">
        <v>0</v>
      </c>
      <c r="R71">
        <v>1</v>
      </c>
      <c r="S71">
        <v>1</v>
      </c>
      <c r="T71">
        <v>1</v>
      </c>
      <c r="U71">
        <v>0</v>
      </c>
      <c r="V71" t="s">
        <v>56</v>
      </c>
      <c r="W71" t="s">
        <v>27</v>
      </c>
    </row>
    <row r="72" spans="1:23" x14ac:dyDescent="0.3">
      <c r="A72" t="s">
        <v>22</v>
      </c>
      <c r="B72" t="s">
        <v>28</v>
      </c>
      <c r="C72" t="s">
        <v>150</v>
      </c>
      <c r="D72">
        <v>9</v>
      </c>
      <c r="E72" t="s">
        <v>164</v>
      </c>
      <c r="F72" t="s">
        <v>19</v>
      </c>
      <c r="I72" t="s">
        <v>623</v>
      </c>
      <c r="J72" t="s">
        <v>227</v>
      </c>
      <c r="K72">
        <v>3</v>
      </c>
      <c r="L72" t="s">
        <v>25</v>
      </c>
      <c r="M72">
        <v>0</v>
      </c>
      <c r="N72">
        <v>3</v>
      </c>
      <c r="O72">
        <v>3</v>
      </c>
      <c r="P72">
        <v>3</v>
      </c>
      <c r="Q72">
        <v>0</v>
      </c>
      <c r="R72">
        <v>1</v>
      </c>
      <c r="S72">
        <v>1</v>
      </c>
      <c r="T72">
        <v>1</v>
      </c>
      <c r="U72">
        <v>0</v>
      </c>
      <c r="V72" t="s">
        <v>56</v>
      </c>
      <c r="W72" t="s">
        <v>27</v>
      </c>
    </row>
    <row r="73" spans="1:23" x14ac:dyDescent="0.3">
      <c r="A73" t="s">
        <v>22</v>
      </c>
      <c r="B73" t="s">
        <v>28</v>
      </c>
      <c r="C73" t="s">
        <v>166</v>
      </c>
      <c r="D73">
        <v>1</v>
      </c>
      <c r="E73" t="s">
        <v>167</v>
      </c>
      <c r="F73" t="s">
        <v>31</v>
      </c>
      <c r="G73" s="1">
        <v>104</v>
      </c>
      <c r="H73" s="1"/>
      <c r="I73" t="s">
        <v>168</v>
      </c>
      <c r="J73" t="s">
        <v>169</v>
      </c>
      <c r="K73">
        <v>156</v>
      </c>
      <c r="L73" t="s">
        <v>62</v>
      </c>
      <c r="M73">
        <v>54</v>
      </c>
      <c r="N73">
        <v>102</v>
      </c>
      <c r="O73">
        <v>156</v>
      </c>
      <c r="P73">
        <v>3</v>
      </c>
      <c r="Q73">
        <v>0</v>
      </c>
      <c r="R73">
        <v>52</v>
      </c>
      <c r="S73">
        <v>52</v>
      </c>
      <c r="T73">
        <v>52</v>
      </c>
      <c r="U73">
        <v>0</v>
      </c>
      <c r="V73" t="s">
        <v>624</v>
      </c>
      <c r="W73" t="s">
        <v>27</v>
      </c>
    </row>
    <row r="74" spans="1:23" x14ac:dyDescent="0.3">
      <c r="A74" t="s">
        <v>22</v>
      </c>
      <c r="B74" t="s">
        <v>28</v>
      </c>
      <c r="C74" t="s">
        <v>166</v>
      </c>
      <c r="D74">
        <v>2</v>
      </c>
      <c r="E74" t="s">
        <v>167</v>
      </c>
      <c r="F74" t="s">
        <v>55</v>
      </c>
      <c r="I74" t="s">
        <v>170</v>
      </c>
      <c r="J74" t="s">
        <v>625</v>
      </c>
      <c r="K74">
        <v>6</v>
      </c>
      <c r="L74" t="s">
        <v>25</v>
      </c>
      <c r="M74">
        <v>0</v>
      </c>
      <c r="N74">
        <v>6</v>
      </c>
      <c r="O74">
        <v>6</v>
      </c>
      <c r="P74">
        <v>3</v>
      </c>
      <c r="Q74">
        <v>0</v>
      </c>
      <c r="R74">
        <v>2</v>
      </c>
      <c r="S74">
        <v>2</v>
      </c>
      <c r="T74">
        <v>2</v>
      </c>
      <c r="U74">
        <v>0</v>
      </c>
      <c r="W74" t="s">
        <v>27</v>
      </c>
    </row>
    <row r="75" spans="1:23" x14ac:dyDescent="0.3">
      <c r="A75" t="s">
        <v>22</v>
      </c>
      <c r="B75" t="s">
        <v>28</v>
      </c>
      <c r="C75" t="s">
        <v>166</v>
      </c>
      <c r="D75">
        <v>3</v>
      </c>
      <c r="E75" t="s">
        <v>167</v>
      </c>
      <c r="F75" t="s">
        <v>63</v>
      </c>
      <c r="I75" t="s">
        <v>171</v>
      </c>
      <c r="J75" t="s">
        <v>626</v>
      </c>
      <c r="K75">
        <v>15</v>
      </c>
      <c r="L75" t="s">
        <v>25</v>
      </c>
      <c r="M75">
        <v>0</v>
      </c>
      <c r="N75">
        <v>15</v>
      </c>
      <c r="O75">
        <v>15</v>
      </c>
      <c r="P75">
        <v>3</v>
      </c>
      <c r="Q75">
        <v>0</v>
      </c>
      <c r="R75">
        <v>5</v>
      </c>
      <c r="S75">
        <v>5</v>
      </c>
      <c r="T75">
        <v>5</v>
      </c>
      <c r="U75">
        <v>0</v>
      </c>
      <c r="W75" t="s">
        <v>74</v>
      </c>
    </row>
    <row r="76" spans="1:23" x14ac:dyDescent="0.3">
      <c r="A76" t="s">
        <v>22</v>
      </c>
      <c r="B76" t="s">
        <v>28</v>
      </c>
      <c r="C76" t="s">
        <v>166</v>
      </c>
      <c r="D76">
        <v>4</v>
      </c>
      <c r="E76" t="s">
        <v>167</v>
      </c>
      <c r="F76" t="s">
        <v>172</v>
      </c>
      <c r="I76" t="s">
        <v>173</v>
      </c>
      <c r="J76" t="s">
        <v>627</v>
      </c>
      <c r="K76">
        <v>12</v>
      </c>
      <c r="L76" t="s">
        <v>25</v>
      </c>
      <c r="M76">
        <v>0</v>
      </c>
      <c r="N76">
        <v>12</v>
      </c>
      <c r="O76">
        <v>12</v>
      </c>
      <c r="P76">
        <v>3</v>
      </c>
      <c r="Q76">
        <v>0</v>
      </c>
      <c r="R76">
        <v>4</v>
      </c>
      <c r="S76">
        <v>4</v>
      </c>
      <c r="T76">
        <v>4</v>
      </c>
      <c r="U76">
        <v>0</v>
      </c>
      <c r="W76" t="s">
        <v>74</v>
      </c>
    </row>
    <row r="77" spans="1:23" x14ac:dyDescent="0.3">
      <c r="A77" t="s">
        <v>22</v>
      </c>
      <c r="B77" t="s">
        <v>28</v>
      </c>
      <c r="C77" t="s">
        <v>166</v>
      </c>
      <c r="D77">
        <v>5</v>
      </c>
      <c r="E77" t="s">
        <v>167</v>
      </c>
      <c r="F77" t="s">
        <v>174</v>
      </c>
      <c r="I77" t="s">
        <v>175</v>
      </c>
      <c r="J77" t="s">
        <v>628</v>
      </c>
      <c r="K77">
        <v>3</v>
      </c>
      <c r="L77" t="s">
        <v>25</v>
      </c>
      <c r="M77">
        <v>0</v>
      </c>
      <c r="N77">
        <v>3</v>
      </c>
      <c r="O77">
        <v>3</v>
      </c>
      <c r="P77">
        <v>3</v>
      </c>
      <c r="Q77">
        <v>0</v>
      </c>
      <c r="R77">
        <v>1</v>
      </c>
      <c r="S77">
        <v>1</v>
      </c>
      <c r="T77">
        <v>1</v>
      </c>
      <c r="U77">
        <v>0</v>
      </c>
      <c r="W77" t="s">
        <v>74</v>
      </c>
    </row>
    <row r="78" spans="1:23" x14ac:dyDescent="0.3">
      <c r="A78" t="s">
        <v>22</v>
      </c>
      <c r="B78" t="s">
        <v>28</v>
      </c>
      <c r="C78" t="s">
        <v>166</v>
      </c>
      <c r="D78">
        <v>6</v>
      </c>
      <c r="E78" t="s">
        <v>167</v>
      </c>
      <c r="F78" t="s">
        <v>176</v>
      </c>
      <c r="I78" t="s">
        <v>177</v>
      </c>
      <c r="J78" t="s">
        <v>627</v>
      </c>
      <c r="K78">
        <v>12</v>
      </c>
      <c r="L78" t="s">
        <v>25</v>
      </c>
      <c r="M78">
        <v>0</v>
      </c>
      <c r="N78">
        <v>12</v>
      </c>
      <c r="O78">
        <v>12</v>
      </c>
      <c r="P78">
        <v>3</v>
      </c>
      <c r="Q78">
        <v>0</v>
      </c>
      <c r="R78">
        <v>4</v>
      </c>
      <c r="S78">
        <v>4</v>
      </c>
      <c r="T78">
        <v>4</v>
      </c>
      <c r="U78">
        <v>0</v>
      </c>
      <c r="W78" t="s">
        <v>178</v>
      </c>
    </row>
    <row r="79" spans="1:23" x14ac:dyDescent="0.3">
      <c r="A79" t="s">
        <v>22</v>
      </c>
      <c r="B79" t="s">
        <v>28</v>
      </c>
      <c r="C79" t="s">
        <v>166</v>
      </c>
      <c r="D79">
        <v>7</v>
      </c>
      <c r="E79" t="s">
        <v>167</v>
      </c>
      <c r="F79" t="s">
        <v>19</v>
      </c>
      <c r="I79" t="s">
        <v>179</v>
      </c>
      <c r="J79" t="s">
        <v>627</v>
      </c>
      <c r="K79">
        <v>12</v>
      </c>
      <c r="L79" t="s">
        <v>25</v>
      </c>
      <c r="M79">
        <v>0</v>
      </c>
      <c r="N79">
        <v>12</v>
      </c>
      <c r="O79">
        <v>12</v>
      </c>
      <c r="P79">
        <v>3</v>
      </c>
      <c r="Q79">
        <v>0</v>
      </c>
      <c r="R79">
        <v>4</v>
      </c>
      <c r="S79">
        <v>4</v>
      </c>
      <c r="T79">
        <v>4</v>
      </c>
      <c r="U79">
        <v>0</v>
      </c>
      <c r="W79" t="s">
        <v>27</v>
      </c>
    </row>
    <row r="80" spans="1:23" x14ac:dyDescent="0.3">
      <c r="A80" t="s">
        <v>22</v>
      </c>
      <c r="B80" t="s">
        <v>28</v>
      </c>
      <c r="C80" t="s">
        <v>166</v>
      </c>
      <c r="D80">
        <v>8</v>
      </c>
      <c r="E80" t="s">
        <v>167</v>
      </c>
      <c r="F80" t="s">
        <v>180</v>
      </c>
      <c r="I80" t="s">
        <v>181</v>
      </c>
      <c r="J80" t="s">
        <v>629</v>
      </c>
      <c r="K80">
        <v>9</v>
      </c>
      <c r="L80" t="s">
        <v>25</v>
      </c>
      <c r="M80">
        <v>0</v>
      </c>
      <c r="N80">
        <v>9</v>
      </c>
      <c r="O80">
        <v>9</v>
      </c>
      <c r="P80">
        <v>3</v>
      </c>
      <c r="Q80">
        <v>0</v>
      </c>
      <c r="R80">
        <v>3</v>
      </c>
      <c r="S80">
        <v>3</v>
      </c>
      <c r="T80">
        <v>3</v>
      </c>
      <c r="U80">
        <v>0</v>
      </c>
      <c r="W80" t="s">
        <v>74</v>
      </c>
    </row>
    <row r="81" spans="1:23" x14ac:dyDescent="0.3">
      <c r="A81" t="s">
        <v>22</v>
      </c>
      <c r="B81" t="s">
        <v>28</v>
      </c>
      <c r="C81" t="s">
        <v>182</v>
      </c>
      <c r="D81">
        <v>1</v>
      </c>
      <c r="E81" t="s">
        <v>183</v>
      </c>
      <c r="F81" t="s">
        <v>31</v>
      </c>
      <c r="H81" s="1">
        <v>2772</v>
      </c>
      <c r="I81" t="s">
        <v>184</v>
      </c>
      <c r="J81" t="s">
        <v>631</v>
      </c>
      <c r="K81">
        <v>36</v>
      </c>
      <c r="L81" t="s">
        <v>25</v>
      </c>
      <c r="M81">
        <v>0</v>
      </c>
      <c r="N81">
        <v>36</v>
      </c>
      <c r="O81">
        <v>36</v>
      </c>
      <c r="P81">
        <v>3</v>
      </c>
      <c r="Q81">
        <v>0</v>
      </c>
      <c r="R81">
        <v>12</v>
      </c>
      <c r="S81">
        <v>12</v>
      </c>
      <c r="T81">
        <v>12</v>
      </c>
      <c r="U81">
        <v>0</v>
      </c>
      <c r="V81" t="s">
        <v>630</v>
      </c>
      <c r="W81" t="s">
        <v>27</v>
      </c>
    </row>
    <row r="82" spans="1:23" x14ac:dyDescent="0.3">
      <c r="A82" t="s">
        <v>22</v>
      </c>
      <c r="B82" t="s">
        <v>28</v>
      </c>
      <c r="C82" t="s">
        <v>182</v>
      </c>
      <c r="D82">
        <v>2</v>
      </c>
      <c r="E82" t="s">
        <v>183</v>
      </c>
      <c r="F82" t="s">
        <v>55</v>
      </c>
      <c r="I82" t="s">
        <v>185</v>
      </c>
      <c r="J82" t="s">
        <v>632</v>
      </c>
      <c r="K82">
        <v>3</v>
      </c>
      <c r="L82" t="s">
        <v>25</v>
      </c>
      <c r="M82">
        <v>0</v>
      </c>
      <c r="N82">
        <v>3</v>
      </c>
      <c r="O82">
        <v>3</v>
      </c>
      <c r="P82">
        <v>3</v>
      </c>
      <c r="Q82">
        <v>0</v>
      </c>
      <c r="R82">
        <v>1</v>
      </c>
      <c r="S82">
        <v>1</v>
      </c>
      <c r="T82">
        <v>1</v>
      </c>
      <c r="U82">
        <v>0</v>
      </c>
      <c r="W82" t="s">
        <v>27</v>
      </c>
    </row>
    <row r="83" spans="1:23" x14ac:dyDescent="0.3">
      <c r="A83" t="s">
        <v>22</v>
      </c>
      <c r="B83" t="s">
        <v>28</v>
      </c>
      <c r="C83" t="s">
        <v>182</v>
      </c>
      <c r="D83">
        <v>3</v>
      </c>
      <c r="E83" t="s">
        <v>183</v>
      </c>
      <c r="F83" t="s">
        <v>186</v>
      </c>
      <c r="I83" t="s">
        <v>187</v>
      </c>
      <c r="J83" t="s">
        <v>632</v>
      </c>
      <c r="K83">
        <v>3</v>
      </c>
      <c r="L83" t="s">
        <v>25</v>
      </c>
      <c r="M83">
        <v>0</v>
      </c>
      <c r="N83">
        <v>3</v>
      </c>
      <c r="O83">
        <v>3</v>
      </c>
      <c r="P83">
        <v>3</v>
      </c>
      <c r="Q83">
        <v>0</v>
      </c>
      <c r="R83">
        <v>1</v>
      </c>
      <c r="S83">
        <v>1</v>
      </c>
      <c r="T83">
        <v>1</v>
      </c>
      <c r="U83">
        <v>0</v>
      </c>
      <c r="W83" t="s">
        <v>178</v>
      </c>
    </row>
    <row r="84" spans="1:23" x14ac:dyDescent="0.3">
      <c r="A84" t="s">
        <v>22</v>
      </c>
      <c r="B84" t="s">
        <v>28</v>
      </c>
      <c r="C84" t="s">
        <v>182</v>
      </c>
      <c r="D84">
        <v>4</v>
      </c>
      <c r="E84" t="s">
        <v>183</v>
      </c>
      <c r="F84" t="s">
        <v>188</v>
      </c>
      <c r="I84" t="s">
        <v>189</v>
      </c>
      <c r="J84" t="s">
        <v>633</v>
      </c>
      <c r="K84">
        <v>6</v>
      </c>
      <c r="L84" t="s">
        <v>25</v>
      </c>
      <c r="M84">
        <v>0</v>
      </c>
      <c r="N84">
        <v>6</v>
      </c>
      <c r="O84">
        <v>6</v>
      </c>
      <c r="P84">
        <v>3</v>
      </c>
      <c r="Q84">
        <v>0</v>
      </c>
      <c r="R84">
        <v>2</v>
      </c>
      <c r="S84">
        <v>2</v>
      </c>
      <c r="T84">
        <v>2</v>
      </c>
      <c r="U84">
        <v>0</v>
      </c>
      <c r="W84" t="s">
        <v>178</v>
      </c>
    </row>
    <row r="85" spans="1:23" x14ac:dyDescent="0.3">
      <c r="A85" t="s">
        <v>22</v>
      </c>
      <c r="B85" t="s">
        <v>28</v>
      </c>
      <c r="C85" t="s">
        <v>190</v>
      </c>
      <c r="D85">
        <v>1</v>
      </c>
      <c r="F85" t="s">
        <v>191</v>
      </c>
      <c r="J85" t="s">
        <v>24</v>
      </c>
      <c r="K85">
        <v>4</v>
      </c>
      <c r="L85" t="s">
        <v>115</v>
      </c>
      <c r="M85">
        <v>4</v>
      </c>
      <c r="N85">
        <v>0</v>
      </c>
      <c r="O85">
        <v>4</v>
      </c>
      <c r="P85">
        <v>3</v>
      </c>
      <c r="Q85">
        <v>0</v>
      </c>
      <c r="R85">
        <v>1.33</v>
      </c>
      <c r="S85">
        <v>1.33</v>
      </c>
      <c r="T85">
        <v>1.34</v>
      </c>
      <c r="U85">
        <v>0</v>
      </c>
      <c r="V85" t="s">
        <v>56</v>
      </c>
      <c r="W85" t="s">
        <v>74</v>
      </c>
    </row>
    <row r="86" spans="1:23" x14ac:dyDescent="0.3">
      <c r="A86" t="s">
        <v>22</v>
      </c>
      <c r="B86" t="s">
        <v>28</v>
      </c>
      <c r="C86" t="s">
        <v>190</v>
      </c>
      <c r="D86">
        <v>2</v>
      </c>
      <c r="F86" t="s">
        <v>192</v>
      </c>
      <c r="J86" t="s">
        <v>24</v>
      </c>
      <c r="K86">
        <v>3</v>
      </c>
      <c r="L86" t="s">
        <v>115</v>
      </c>
      <c r="M86">
        <v>3</v>
      </c>
      <c r="N86">
        <v>0</v>
      </c>
      <c r="O86">
        <v>3</v>
      </c>
      <c r="P86">
        <v>3</v>
      </c>
      <c r="Q86">
        <v>0</v>
      </c>
      <c r="R86">
        <v>1</v>
      </c>
      <c r="S86">
        <v>1</v>
      </c>
      <c r="T86">
        <v>1</v>
      </c>
      <c r="U86">
        <v>0</v>
      </c>
      <c r="V86" t="s">
        <v>56</v>
      </c>
      <c r="W86" t="s">
        <v>74</v>
      </c>
    </row>
    <row r="87" spans="1:23" x14ac:dyDescent="0.3">
      <c r="A87" t="s">
        <v>22</v>
      </c>
      <c r="B87" t="s">
        <v>28</v>
      </c>
      <c r="C87" t="s">
        <v>190</v>
      </c>
      <c r="D87">
        <v>3</v>
      </c>
      <c r="F87" t="s">
        <v>193</v>
      </c>
      <c r="J87" t="s">
        <v>24</v>
      </c>
      <c r="K87">
        <v>11</v>
      </c>
      <c r="L87" t="s">
        <v>115</v>
      </c>
      <c r="M87">
        <v>11</v>
      </c>
      <c r="N87">
        <v>0</v>
      </c>
      <c r="O87">
        <v>11</v>
      </c>
      <c r="P87">
        <v>3</v>
      </c>
      <c r="Q87">
        <v>0</v>
      </c>
      <c r="R87">
        <v>3.67</v>
      </c>
      <c r="S87">
        <v>3.67</v>
      </c>
      <c r="T87">
        <v>3.66</v>
      </c>
      <c r="U87">
        <v>0</v>
      </c>
      <c r="V87" t="s">
        <v>56</v>
      </c>
      <c r="W87" t="s">
        <v>74</v>
      </c>
    </row>
    <row r="88" spans="1:23" x14ac:dyDescent="0.3">
      <c r="A88" t="s">
        <v>22</v>
      </c>
      <c r="B88" t="s">
        <v>28</v>
      </c>
      <c r="C88" t="s">
        <v>190</v>
      </c>
      <c r="D88">
        <v>4</v>
      </c>
      <c r="F88" t="s">
        <v>194</v>
      </c>
      <c r="J88" t="s">
        <v>24</v>
      </c>
      <c r="K88">
        <v>4</v>
      </c>
      <c r="L88" t="s">
        <v>115</v>
      </c>
      <c r="M88">
        <v>4</v>
      </c>
      <c r="N88">
        <v>0</v>
      </c>
      <c r="O88">
        <v>4</v>
      </c>
      <c r="P88">
        <v>3</v>
      </c>
      <c r="Q88">
        <v>0</v>
      </c>
      <c r="R88">
        <v>1.33</v>
      </c>
      <c r="S88">
        <v>1.33</v>
      </c>
      <c r="T88">
        <v>1.34</v>
      </c>
      <c r="U88">
        <v>0</v>
      </c>
      <c r="V88" t="s">
        <v>56</v>
      </c>
      <c r="W88" t="s">
        <v>178</v>
      </c>
    </row>
    <row r="89" spans="1:23" x14ac:dyDescent="0.3">
      <c r="A89" t="s">
        <v>22</v>
      </c>
      <c r="B89" t="s">
        <v>28</v>
      </c>
      <c r="C89" t="s">
        <v>190</v>
      </c>
      <c r="D89">
        <v>5</v>
      </c>
      <c r="F89" t="s">
        <v>195</v>
      </c>
      <c r="J89" t="s">
        <v>24</v>
      </c>
      <c r="K89">
        <v>2</v>
      </c>
      <c r="L89" t="s">
        <v>115</v>
      </c>
      <c r="M89">
        <v>2</v>
      </c>
      <c r="N89">
        <v>0</v>
      </c>
      <c r="O89">
        <v>2</v>
      </c>
      <c r="P89">
        <v>1</v>
      </c>
      <c r="Q89">
        <v>2</v>
      </c>
      <c r="R89">
        <v>0</v>
      </c>
      <c r="S89">
        <v>0</v>
      </c>
      <c r="T89">
        <v>0</v>
      </c>
      <c r="U89">
        <v>0</v>
      </c>
      <c r="V89" t="s">
        <v>26</v>
      </c>
      <c r="W89" t="s">
        <v>178</v>
      </c>
    </row>
    <row r="90" spans="1:23" x14ac:dyDescent="0.3">
      <c r="A90" t="s">
        <v>22</v>
      </c>
      <c r="B90" t="s">
        <v>28</v>
      </c>
      <c r="C90" t="s">
        <v>611</v>
      </c>
      <c r="D90">
        <v>1</v>
      </c>
      <c r="E90" t="s">
        <v>611</v>
      </c>
      <c r="F90" t="s">
        <v>611</v>
      </c>
      <c r="K90">
        <v>82</v>
      </c>
      <c r="M90">
        <v>0</v>
      </c>
      <c r="N90">
        <v>82</v>
      </c>
      <c r="O90">
        <v>82</v>
      </c>
      <c r="P90">
        <v>3</v>
      </c>
      <c r="Q90">
        <v>82</v>
      </c>
      <c r="R90">
        <v>0</v>
      </c>
      <c r="S90">
        <v>0</v>
      </c>
      <c r="T90">
        <v>0</v>
      </c>
      <c r="U90">
        <v>0</v>
      </c>
    </row>
    <row r="91" spans="1:23" x14ac:dyDescent="0.3">
      <c r="A91" t="s">
        <v>22</v>
      </c>
      <c r="B91" t="s">
        <v>28</v>
      </c>
      <c r="C91" t="s">
        <v>634</v>
      </c>
      <c r="D91">
        <v>1</v>
      </c>
      <c r="E91" t="s">
        <v>634</v>
      </c>
      <c r="F91" t="s">
        <v>634</v>
      </c>
      <c r="K91">
        <v>32</v>
      </c>
      <c r="M91">
        <v>20</v>
      </c>
      <c r="N91">
        <v>12</v>
      </c>
      <c r="O91">
        <v>32</v>
      </c>
      <c r="P91">
        <v>3</v>
      </c>
      <c r="Q91">
        <v>32</v>
      </c>
      <c r="R91">
        <v>0</v>
      </c>
      <c r="S91">
        <v>0</v>
      </c>
      <c r="T91">
        <v>0</v>
      </c>
      <c r="U91">
        <v>0</v>
      </c>
    </row>
    <row r="92" spans="1:23" x14ac:dyDescent="0.3">
      <c r="A92" t="s">
        <v>22</v>
      </c>
      <c r="B92" t="s">
        <v>28</v>
      </c>
      <c r="C92" t="s">
        <v>612</v>
      </c>
      <c r="D92">
        <v>1</v>
      </c>
      <c r="E92" t="s">
        <v>612</v>
      </c>
      <c r="F92" t="s">
        <v>612</v>
      </c>
      <c r="K92">
        <v>9</v>
      </c>
      <c r="M92">
        <v>9</v>
      </c>
      <c r="N92">
        <v>9</v>
      </c>
      <c r="O92">
        <v>9</v>
      </c>
      <c r="P92">
        <v>3</v>
      </c>
      <c r="Q92">
        <v>9</v>
      </c>
      <c r="R92">
        <v>0</v>
      </c>
      <c r="S92">
        <v>0</v>
      </c>
      <c r="T92">
        <v>0</v>
      </c>
      <c r="U9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Anjar</vt:lpstr>
      <vt:lpstr>Spinning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Tadumudupula Nikhitha</dc:creator>
  <cp:lastModifiedBy>Sahith Thadimudupula</cp:lastModifiedBy>
  <dcterms:created xsi:type="dcterms:W3CDTF">2026-04-14T14:24:08Z</dcterms:created>
  <dcterms:modified xsi:type="dcterms:W3CDTF">2026-05-06T07:07:54Z</dcterms:modified>
</cp:coreProperties>
</file>