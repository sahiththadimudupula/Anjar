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200711\Desktop\sahith_welspun_own\Manning_FInal_sheets\"/>
    </mc:Choice>
  </mc:AlternateContent>
  <xr:revisionPtr revIDLastSave="0" documentId="13_ncr:1_{0AFB9D0C-9AB1-445C-9AB2-57BA9527F021}" xr6:coauthVersionLast="47" xr6:coauthVersionMax="47" xr10:uidLastSave="{00000000-0000-0000-0000-000000000000}"/>
  <bookViews>
    <workbookView xWindow="-96" yWindow="-96" windowWidth="23232" windowHeight="12432" firstSheet="2" activeTab="2" xr2:uid="{711592DD-0667-4E73-9383-5CB165624418}"/>
  </bookViews>
  <sheets>
    <sheet name="Manpower" sheetId="17" r:id="rId1"/>
    <sheet name="LC" sheetId="1" r:id="rId2"/>
    <sheet name="LH-A" sheetId="2" r:id="rId3"/>
    <sheet name="LM-M" sheetId="3" r:id="rId4"/>
    <sheet name="ACH" sheetId="5" r:id="rId5"/>
    <sheet name="ASCAM" sheetId="4" r:id="rId6"/>
    <sheet name="ASLAM" sheetId="6" r:id="rId7"/>
    <sheet name="SACH" sheetId="7" r:id="rId8"/>
    <sheet name="MMNO" sheetId="8" r:id="rId9"/>
    <sheet name="MMCO" sheetId="9" r:id="rId10"/>
    <sheet name="MSLAM" sheetId="10" r:id="rId11"/>
    <sheet name="WLL Overall" sheetId="11" r:id="rId12"/>
    <sheet name="WLL - AUTOMATIC" sheetId="12" r:id="rId13"/>
    <sheet name="WLL - JUKI Manual Order" sheetId="13" r:id="rId14"/>
    <sheet name="SEMI-AUTOMATIC" sheetId="14" r:id="rId15"/>
    <sheet name="WLL - JUKI - Normal" sheetId="15" r:id="rId16"/>
    <sheet name="WLL - JUKI - Critical" sheetId="16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6" i="17" l="1"/>
  <c r="K65" i="17"/>
  <c r="K64" i="17"/>
  <c r="K63" i="17"/>
  <c r="K62" i="17"/>
  <c r="K61" i="17"/>
  <c r="K60" i="17"/>
  <c r="K59" i="17"/>
  <c r="K58" i="17"/>
  <c r="K57" i="17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K42" i="17"/>
  <c r="K41" i="17"/>
  <c r="K40" i="17"/>
  <c r="K39" i="17"/>
  <c r="K38" i="17"/>
  <c r="K37" i="17"/>
  <c r="K36" i="17"/>
  <c r="K35" i="17"/>
  <c r="K34" i="17"/>
  <c r="K33" i="17"/>
  <c r="K32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12" i="17"/>
  <c r="K11" i="17"/>
  <c r="K10" i="17"/>
  <c r="K9" i="17"/>
  <c r="K8" i="17"/>
  <c r="K7" i="17"/>
  <c r="K5" i="17"/>
  <c r="K4" i="17"/>
  <c r="K3" i="17"/>
  <c r="K2" i="17"/>
  <c r="I6" i="10" l="1"/>
  <c r="H6" i="10"/>
  <c r="G6" i="10"/>
  <c r="F6" i="10"/>
  <c r="E6" i="10"/>
  <c r="E8" i="10" s="1"/>
  <c r="D4" i="10"/>
  <c r="D2" i="10"/>
  <c r="F6" i="9"/>
  <c r="G6" i="9"/>
  <c r="H6" i="9"/>
  <c r="I6" i="9"/>
  <c r="I8" i="9" s="1"/>
  <c r="I12" i="9" s="1"/>
  <c r="E6" i="9"/>
  <c r="I5" i="9"/>
  <c r="H5" i="9"/>
  <c r="G5" i="9"/>
  <c r="F5" i="9"/>
  <c r="E5" i="9"/>
  <c r="D3" i="9"/>
  <c r="D4" i="9"/>
  <c r="D2" i="9"/>
  <c r="I7" i="8"/>
  <c r="H7" i="8"/>
  <c r="G7" i="8"/>
  <c r="F7" i="8"/>
  <c r="E7" i="8"/>
  <c r="I5" i="8"/>
  <c r="H5" i="8"/>
  <c r="G5" i="8"/>
  <c r="F5" i="8"/>
  <c r="E5" i="8"/>
  <c r="D2" i="8"/>
  <c r="D4" i="8"/>
  <c r="G7" i="7"/>
  <c r="H7" i="7"/>
  <c r="I7" i="7"/>
  <c r="F7" i="7"/>
  <c r="E7" i="7"/>
  <c r="I5" i="7"/>
  <c r="H5" i="7"/>
  <c r="G5" i="7"/>
  <c r="F5" i="7"/>
  <c r="E5" i="7"/>
  <c r="D4" i="7"/>
  <c r="D3" i="7" s="1"/>
  <c r="D2" i="7"/>
  <c r="I6" i="6"/>
  <c r="H6" i="6"/>
  <c r="G6" i="6"/>
  <c r="F6" i="6"/>
  <c r="E6" i="6"/>
  <c r="I5" i="6"/>
  <c r="H5" i="6"/>
  <c r="G5" i="6"/>
  <c r="F5" i="6"/>
  <c r="E5" i="6"/>
  <c r="D4" i="6"/>
  <c r="D3" i="6"/>
  <c r="D2" i="6"/>
  <c r="I5" i="4"/>
  <c r="H5" i="4"/>
  <c r="G5" i="4"/>
  <c r="F5" i="4"/>
  <c r="E5" i="4"/>
  <c r="I5" i="5"/>
  <c r="H5" i="5"/>
  <c r="H7" i="5" s="1"/>
  <c r="G5" i="5"/>
  <c r="F5" i="5"/>
  <c r="F7" i="5" s="1"/>
  <c r="E5" i="5"/>
  <c r="I5" i="2"/>
  <c r="H5" i="2"/>
  <c r="H6" i="2" s="1"/>
  <c r="G5" i="2"/>
  <c r="F5" i="2"/>
  <c r="F6" i="2"/>
  <c r="E5" i="2"/>
  <c r="E6" i="2" s="1"/>
  <c r="I5" i="1"/>
  <c r="I6" i="1" s="1"/>
  <c r="H5" i="1"/>
  <c r="G5" i="1"/>
  <c r="G6" i="1" s="1"/>
  <c r="H6" i="1"/>
  <c r="E5" i="1"/>
  <c r="E6" i="1" s="1"/>
  <c r="E19" i="1" s="1"/>
  <c r="F5" i="1"/>
  <c r="F6" i="1" s="1"/>
  <c r="D3" i="4"/>
  <c r="D4" i="4"/>
  <c r="D2" i="4"/>
  <c r="I7" i="5"/>
  <c r="G7" i="5"/>
  <c r="E7" i="5"/>
  <c r="D3" i="5"/>
  <c r="D4" i="5"/>
  <c r="D2" i="5"/>
  <c r="F8" i="3"/>
  <c r="G8" i="3"/>
  <c r="H8" i="3"/>
  <c r="I8" i="3"/>
  <c r="E8" i="3"/>
  <c r="E16" i="3"/>
  <c r="E15" i="3"/>
  <c r="E11" i="3"/>
  <c r="H6" i="3"/>
  <c r="I6" i="3"/>
  <c r="G6" i="3"/>
  <c r="F6" i="3"/>
  <c r="E6" i="3"/>
  <c r="D4" i="3"/>
  <c r="D2" i="3"/>
  <c r="G6" i="2"/>
  <c r="I6" i="2"/>
  <c r="D3" i="2"/>
  <c r="D4" i="2"/>
  <c r="D2" i="2"/>
  <c r="E18" i="1"/>
  <c r="E16" i="1"/>
  <c r="E10" i="1"/>
  <c r="D2" i="1"/>
  <c r="D3" i="1" s="1"/>
  <c r="D4" i="1"/>
  <c r="E5" i="15"/>
  <c r="E6" i="15"/>
  <c r="E7" i="15"/>
  <c r="E8" i="15"/>
  <c r="E4" i="15"/>
  <c r="E7" i="16"/>
  <c r="E8" i="16"/>
  <c r="E5" i="16"/>
  <c r="E6" i="16"/>
  <c r="E4" i="16"/>
  <c r="E9" i="16" s="1"/>
  <c r="E6" i="14"/>
  <c r="E7" i="14"/>
  <c r="E5" i="14"/>
  <c r="E4" i="14"/>
  <c r="E8" i="14" s="1"/>
  <c r="E8" i="13"/>
  <c r="E9" i="13"/>
  <c r="E7" i="13"/>
  <c r="E6" i="13"/>
  <c r="E5" i="13"/>
  <c r="E5" i="12"/>
  <c r="E6" i="12"/>
  <c r="E7" i="12"/>
  <c r="E8" i="12"/>
  <c r="E4" i="12"/>
  <c r="E9" i="12" s="1"/>
  <c r="E28" i="11"/>
  <c r="E27" i="11"/>
  <c r="E26" i="11"/>
  <c r="E25" i="11"/>
  <c r="E24" i="11"/>
  <c r="E23" i="11"/>
  <c r="E22" i="11"/>
  <c r="E21" i="11"/>
  <c r="E20" i="11"/>
  <c r="E17" i="11"/>
  <c r="E11" i="11"/>
  <c r="E10" i="11"/>
  <c r="E19" i="11" s="1"/>
  <c r="I10" i="10"/>
  <c r="I12" i="10" s="1"/>
  <c r="I13" i="10" s="1"/>
  <c r="H10" i="10"/>
  <c r="H12" i="10" s="1"/>
  <c r="H13" i="10" s="1"/>
  <c r="G10" i="10"/>
  <c r="G12" i="10" s="1"/>
  <c r="F10" i="10"/>
  <c r="F12" i="10" s="1"/>
  <c r="E10" i="10"/>
  <c r="E12" i="10" s="1"/>
  <c r="F8" i="10"/>
  <c r="G8" i="10"/>
  <c r="H8" i="10"/>
  <c r="I8" i="10"/>
  <c r="I9" i="9"/>
  <c r="I11" i="9" s="1"/>
  <c r="H9" i="9"/>
  <c r="H11" i="9" s="1"/>
  <c r="H12" i="9" s="1"/>
  <c r="G9" i="9"/>
  <c r="G11" i="9" s="1"/>
  <c r="G12" i="9" s="1"/>
  <c r="F9" i="9"/>
  <c r="F11" i="9" s="1"/>
  <c r="E9" i="9"/>
  <c r="E11" i="9" s="1"/>
  <c r="H8" i="9"/>
  <c r="G8" i="9"/>
  <c r="F8" i="9"/>
  <c r="E8" i="9"/>
  <c r="F13" i="10" l="1"/>
  <c r="G13" i="10"/>
  <c r="E13" i="10"/>
  <c r="J14" i="10" s="1"/>
  <c r="F12" i="9"/>
  <c r="E12" i="9"/>
  <c r="J13" i="9" s="1"/>
  <c r="J14" i="9" s="1"/>
  <c r="J15" i="9" s="1"/>
  <c r="E9" i="15"/>
  <c r="E18" i="11"/>
  <c r="I10" i="8" l="1"/>
  <c r="I12" i="8" s="1"/>
  <c r="H10" i="8"/>
  <c r="H12" i="8" s="1"/>
  <c r="H13" i="8" s="1"/>
  <c r="G10" i="8"/>
  <c r="G12" i="8" s="1"/>
  <c r="E10" i="8"/>
  <c r="E12" i="8" s="1"/>
  <c r="I9" i="8"/>
  <c r="I13" i="8" s="1"/>
  <c r="H9" i="8"/>
  <c r="G9" i="8"/>
  <c r="G13" i="8" s="1"/>
  <c r="F9" i="8"/>
  <c r="F10" i="8" s="1"/>
  <c r="E9" i="8"/>
  <c r="G10" i="7"/>
  <c r="F10" i="7"/>
  <c r="H10" i="7"/>
  <c r="I10" i="7"/>
  <c r="E10" i="7"/>
  <c r="I10" i="6"/>
  <c r="I12" i="6" s="1"/>
  <c r="H10" i="6"/>
  <c r="H12" i="6" s="1"/>
  <c r="G10" i="6"/>
  <c r="G12" i="6" s="1"/>
  <c r="F10" i="6"/>
  <c r="F12" i="6" s="1"/>
  <c r="E10" i="6"/>
  <c r="E12" i="6" s="1"/>
  <c r="I8" i="6"/>
  <c r="H8" i="6"/>
  <c r="G8" i="6"/>
  <c r="F8" i="6"/>
  <c r="E8" i="6"/>
  <c r="H10" i="4"/>
  <c r="H12" i="4" s="1"/>
  <c r="I10" i="4"/>
  <c r="I12" i="4" s="1"/>
  <c r="F6" i="4"/>
  <c r="F8" i="4" s="1"/>
  <c r="G6" i="4"/>
  <c r="G8" i="4" s="1"/>
  <c r="H6" i="4"/>
  <c r="H8" i="4" s="1"/>
  <c r="I6" i="4"/>
  <c r="I8" i="4" s="1"/>
  <c r="E6" i="4"/>
  <c r="E8" i="4" s="1"/>
  <c r="I10" i="5"/>
  <c r="I11" i="5" s="1"/>
  <c r="H10" i="5"/>
  <c r="H11" i="5" s="1"/>
  <c r="G10" i="5"/>
  <c r="G11" i="5" s="1"/>
  <c r="F10" i="5"/>
  <c r="F11" i="5" s="1"/>
  <c r="E10" i="5"/>
  <c r="E11" i="5" s="1"/>
  <c r="E9" i="3"/>
  <c r="I9" i="3"/>
  <c r="H9" i="3"/>
  <c r="G9" i="3"/>
  <c r="F9" i="3"/>
  <c r="I11" i="3"/>
  <c r="I13" i="3" s="1"/>
  <c r="I15" i="3" s="1"/>
  <c r="I16" i="3" s="1"/>
  <c r="H11" i="3"/>
  <c r="H13" i="3" s="1"/>
  <c r="H15" i="3" s="1"/>
  <c r="H16" i="3" s="1"/>
  <c r="G11" i="3"/>
  <c r="G13" i="3" s="1"/>
  <c r="G15" i="3" s="1"/>
  <c r="G16" i="3" s="1"/>
  <c r="F11" i="3"/>
  <c r="F13" i="3" s="1"/>
  <c r="F15" i="3" s="1"/>
  <c r="F16" i="3" s="1"/>
  <c r="J17" i="3" s="1"/>
  <c r="J19" i="3" s="1"/>
  <c r="E13" i="3"/>
  <c r="G9" i="2"/>
  <c r="G11" i="2" s="1"/>
  <c r="G13" i="2" s="1"/>
  <c r="G15" i="2" s="1"/>
  <c r="F9" i="2"/>
  <c r="F11" i="2" s="1"/>
  <c r="F13" i="2" s="1"/>
  <c r="F15" i="2" s="1"/>
  <c r="E9" i="2"/>
  <c r="E11" i="2" s="1"/>
  <c r="E13" i="2" s="1"/>
  <c r="E15" i="2" s="1"/>
  <c r="I8" i="2"/>
  <c r="H8" i="2"/>
  <c r="G8" i="2"/>
  <c r="G16" i="2" s="1"/>
  <c r="F8" i="2"/>
  <c r="F16" i="2" s="1"/>
  <c r="E8" i="2"/>
  <c r="E16" i="2" s="1"/>
  <c r="I7" i="2"/>
  <c r="I9" i="2" s="1"/>
  <c r="I11" i="2" s="1"/>
  <c r="I13" i="2" s="1"/>
  <c r="I15" i="2" s="1"/>
  <c r="H7" i="2"/>
  <c r="H9" i="2" s="1"/>
  <c r="H11" i="2" s="1"/>
  <c r="H13" i="2" s="1"/>
  <c r="H15" i="2" s="1"/>
  <c r="G7" i="2"/>
  <c r="F7" i="2"/>
  <c r="E7" i="2"/>
  <c r="J11" i="7" l="1"/>
  <c r="E13" i="6"/>
  <c r="F13" i="6"/>
  <c r="G13" i="6"/>
  <c r="H13" i="6"/>
  <c r="I13" i="6"/>
  <c r="I13" i="4"/>
  <c r="J12" i="5"/>
  <c r="E13" i="8"/>
  <c r="F12" i="8"/>
  <c r="F13" i="8" s="1"/>
  <c r="F10" i="4"/>
  <c r="F12" i="4" s="1"/>
  <c r="F13" i="4" s="1"/>
  <c r="H13" i="4"/>
  <c r="E10" i="4"/>
  <c r="E12" i="4" s="1"/>
  <c r="E13" i="4" s="1"/>
  <c r="G10" i="4"/>
  <c r="G12" i="4" s="1"/>
  <c r="G13" i="4" s="1"/>
  <c r="H16" i="2"/>
  <c r="I16" i="2"/>
  <c r="J14" i="8" l="1"/>
  <c r="J15" i="8" s="1"/>
  <c r="J16" i="8" s="1"/>
  <c r="J14" i="6"/>
  <c r="J14" i="4"/>
  <c r="J17" i="2"/>
  <c r="J18" i="2" s="1"/>
  <c r="E8" i="1"/>
  <c r="F19" i="1"/>
  <c r="G19" i="1"/>
  <c r="H19" i="1"/>
  <c r="I19" i="1"/>
  <c r="F10" i="1"/>
  <c r="G10" i="1"/>
  <c r="H10" i="1"/>
  <c r="I10" i="1"/>
  <c r="I11" i="1"/>
  <c r="I12" i="1" s="1"/>
  <c r="I14" i="1" s="1"/>
  <c r="I16" i="1" s="1"/>
  <c r="I18" i="1" s="1"/>
  <c r="H11" i="1"/>
  <c r="H12" i="1" s="1"/>
  <c r="H14" i="1" s="1"/>
  <c r="H16" i="1" s="1"/>
  <c r="H18" i="1" s="1"/>
  <c r="G11" i="1"/>
  <c r="G12" i="1" s="1"/>
  <c r="G14" i="1" s="1"/>
  <c r="G16" i="1" s="1"/>
  <c r="G18" i="1" s="1"/>
  <c r="F11" i="1"/>
  <c r="F12" i="1" s="1"/>
  <c r="F14" i="1" s="1"/>
  <c r="F16" i="1" s="1"/>
  <c r="F18" i="1" s="1"/>
  <c r="E11" i="1"/>
  <c r="I8" i="1"/>
  <c r="H8" i="1"/>
  <c r="G8" i="1"/>
  <c r="F8" i="1"/>
  <c r="E12" i="1" l="1"/>
  <c r="E14" i="1" s="1"/>
  <c r="J20" i="1" s="1"/>
  <c r="J21" i="1" s="1"/>
</calcChain>
</file>

<file path=xl/sharedStrings.xml><?xml version="1.0" encoding="utf-8"?>
<sst xmlns="http://schemas.openxmlformats.org/spreadsheetml/2006/main" count="1664" uniqueCount="285">
  <si>
    <t>Month</t>
  </si>
  <si>
    <t>Machine</t>
  </si>
  <si>
    <t>Metric</t>
  </si>
  <si>
    <t>Overall / Common</t>
  </si>
  <si>
    <t>Bath - 69 x 139 cm</t>
  </si>
  <si>
    <t>Bath Mat (51 x 76 cm)</t>
  </si>
  <si>
    <t>Bath Sheet (89 x 164 cm)</t>
  </si>
  <si>
    <t>Hand (41 x 71 cm)</t>
  </si>
  <si>
    <t>Wash (33 x 33 cm)</t>
  </si>
  <si>
    <t>Total / Final</t>
  </si>
  <si>
    <t>Apr-26</t>
  </si>
  <si>
    <t>Length Cutting Machine</t>
  </si>
  <si>
    <t>Capacity (TPD)</t>
  </si>
  <si>
    <t>Pc Ratio</t>
  </si>
  <si>
    <t>Total Pcs</t>
  </si>
  <si>
    <t>Ratio %</t>
  </si>
  <si>
    <t>Production-pcs/day</t>
  </si>
  <si>
    <t>Loom Width</t>
  </si>
  <si>
    <t>Length Per Towel (cm)</t>
  </si>
  <si>
    <t>Width Per Towel (cm)</t>
  </si>
  <si>
    <t>No of pcs in width</t>
  </si>
  <si>
    <t>Pcs/mtr</t>
  </si>
  <si>
    <t>Pcs/lnr mtr</t>
  </si>
  <si>
    <t>Speed</t>
  </si>
  <si>
    <t>Pcs/min</t>
  </si>
  <si>
    <t>Eff %</t>
  </si>
  <si>
    <t>Pcs/min at given eff</t>
  </si>
  <si>
    <t>Available time</t>
  </si>
  <si>
    <t>Production/m/c</t>
  </si>
  <si>
    <t>No of machines required</t>
  </si>
  <si>
    <t>Total no of machines reqd</t>
  </si>
  <si>
    <t>Total No. Of MC</t>
  </si>
  <si>
    <t>Bath</t>
  </si>
  <si>
    <t>Bath - Mat</t>
  </si>
  <si>
    <t>Bath - Sheet</t>
  </si>
  <si>
    <t>Hand</t>
  </si>
  <si>
    <t>Wash</t>
  </si>
  <si>
    <t>Length Hemming - Automatic Section Area</t>
  </si>
  <si>
    <t>Size</t>
  </si>
  <si>
    <t>Qty</t>
  </si>
  <si>
    <t>Length Hemming - Manual Section Area</t>
  </si>
  <si>
    <t>Samping Machine</t>
  </si>
  <si>
    <t>Value</t>
  </si>
  <si>
    <t>Auto Cross Hemming</t>
  </si>
  <si>
    <t>Productivity (Pcs/hr)</t>
  </si>
  <si>
    <t>Present Eff</t>
  </si>
  <si>
    <t>Actual Time Available (Hrs)</t>
  </si>
  <si>
    <t>Alter %</t>
  </si>
  <si>
    <t>SAM/Pcs in Min</t>
  </si>
  <si>
    <t>Productivity/Shift</t>
  </si>
  <si>
    <t>Productivity/Shift @65%</t>
  </si>
  <si>
    <t>Automatic Section Cross Alter Machine</t>
  </si>
  <si>
    <t>Automatic Section Length Alter Machine</t>
  </si>
  <si>
    <t>Apr-27</t>
  </si>
  <si>
    <t>Apr-28</t>
  </si>
  <si>
    <t>Semi-Auto Cross Hemming</t>
  </si>
  <si>
    <t>Manual Machines - Normal Order</t>
  </si>
  <si>
    <t>Avg SAM Value for 1 Pc (Sec)</t>
  </si>
  <si>
    <t>Total Time Req for Total Pcs (Secs)</t>
  </si>
  <si>
    <t>Juki 1 M/c Available Time @ 22.5 Hrs (In Min)</t>
  </si>
  <si>
    <t>Actual Time Available (In Min)</t>
  </si>
  <si>
    <t>Spares machine for Labeling, Rework Etc</t>
  </si>
  <si>
    <t>Manual Machines - Critical Order</t>
  </si>
  <si>
    <t>Manual Section Length Alter Machine</t>
  </si>
  <si>
    <t>IE Production/Day</t>
  </si>
  <si>
    <t>Automatic</t>
  </si>
  <si>
    <t>SEMI-AUTOMATIC</t>
  </si>
  <si>
    <t>WLL - JUKI - Normal</t>
  </si>
  <si>
    <t>Grand Total</t>
  </si>
  <si>
    <t>Bath Mat</t>
  </si>
  <si>
    <t>Bath Sheet</t>
  </si>
  <si>
    <t>April (Pcs)</t>
  </si>
  <si>
    <t>PC Ratio</t>
  </si>
  <si>
    <t>AUTOMATIC</t>
  </si>
  <si>
    <t>Section</t>
  </si>
  <si>
    <t>Category</t>
  </si>
  <si>
    <t>Formula</t>
  </si>
  <si>
    <t>input</t>
  </si>
  <si>
    <t>April (Kgs)</t>
  </si>
  <si>
    <t>WLL - JUKI - Critical</t>
  </si>
  <si>
    <t>SUM(E2,E4,E6,E8)</t>
  </si>
  <si>
    <t>SUM(E3,E5,E7,E9)</t>
  </si>
  <si>
    <t>Size Ratio</t>
  </si>
  <si>
    <t>Ratio</t>
  </si>
  <si>
    <t>SUM(E12:E16)</t>
  </si>
  <si>
    <t>WLL Overall</t>
  </si>
  <si>
    <t>E10*E12</t>
  </si>
  <si>
    <t>E10*E13</t>
  </si>
  <si>
    <t>E10*E14</t>
  </si>
  <si>
    <t>E10*E15</t>
  </si>
  <si>
    <t>E10*E16</t>
  </si>
  <si>
    <t>E10*E17</t>
  </si>
  <si>
    <t>E2/E3</t>
  </si>
  <si>
    <t>E4/E5</t>
  </si>
  <si>
    <t>E6/E7</t>
  </si>
  <si>
    <t>E8/E9</t>
  </si>
  <si>
    <t>E10/E11</t>
  </si>
  <si>
    <t>WLL - AUTOMATIC</t>
  </si>
  <si>
    <t>Mat</t>
  </si>
  <si>
    <t>Input</t>
  </si>
  <si>
    <t>Automatic * Ratio</t>
  </si>
  <si>
    <t>Sum</t>
  </si>
  <si>
    <t>Check</t>
  </si>
  <si>
    <t>Manual Order Day in Pcs</t>
  </si>
  <si>
    <t>WLL - JUKI Manual Order</t>
  </si>
  <si>
    <t>Critical + Normal</t>
  </si>
  <si>
    <t>Grand Total * Ratio</t>
  </si>
  <si>
    <t>Semi-Automatic day in Pcs</t>
  </si>
  <si>
    <t>Manual Normal JUKI Day in Pcs</t>
  </si>
  <si>
    <t>Manual Critical Day in Pcs</t>
  </si>
  <si>
    <t>Location</t>
  </si>
  <si>
    <t>Business</t>
  </si>
  <si>
    <t>Sr_No</t>
  </si>
  <si>
    <t>Dept_Machine_Name</t>
  </si>
  <si>
    <t>Designation</t>
  </si>
  <si>
    <t>Machine_Count</t>
  </si>
  <si>
    <t>Manpower_Base_Qty</t>
  </si>
  <si>
    <t>Workload</t>
  </si>
  <si>
    <t>Formulas</t>
  </si>
  <si>
    <t>BE_Scientific_Manpower</t>
  </si>
  <si>
    <t>Operator_Type</t>
  </si>
  <si>
    <t>Contractors</t>
  </si>
  <si>
    <t>Company_Associate</t>
  </si>
  <si>
    <t>BE_Final_Manpower</t>
  </si>
  <si>
    <t>N_shift</t>
  </si>
  <si>
    <t>General_Shift</t>
  </si>
  <si>
    <t>Shift_A</t>
  </si>
  <si>
    <t>Shift_B</t>
  </si>
  <si>
    <t>Shift_C</t>
  </si>
  <si>
    <t>Reliever</t>
  </si>
  <si>
    <t>Remarks</t>
  </si>
  <si>
    <t>SkillType</t>
  </si>
  <si>
    <t>Terry Towel</t>
  </si>
  <si>
    <t>Length Cutting</t>
  </si>
  <si>
    <t>Material movement from Process</t>
  </si>
  <si>
    <t>4 persons / shift</t>
  </si>
  <si>
    <t>4*3</t>
  </si>
  <si>
    <t>Company</t>
  </si>
  <si>
    <t>Semi-Skilled</t>
  </si>
  <si>
    <t>Length Cutting Operator</t>
  </si>
  <si>
    <t>2 operators / machine / shift</t>
  </si>
  <si>
    <t>Skilled</t>
  </si>
  <si>
    <t>Length Hemming</t>
  </si>
  <si>
    <t>Length Hemming Operator</t>
  </si>
  <si>
    <t>Auto + Manual machines</t>
  </si>
  <si>
    <t>Trolley Feeder to LH</t>
  </si>
  <si>
    <t>3 persons / shift</t>
  </si>
  <si>
    <t>3*3</t>
  </si>
  <si>
    <t>Thread Collector (Kitting)</t>
  </si>
  <si>
    <t>As per plan</t>
  </si>
  <si>
    <t>L,H,Jobber</t>
  </si>
  <si>
    <t>3 jobbers / shift</t>
  </si>
  <si>
    <t>FRC Collecting &amp; Segregation</t>
  </si>
  <si>
    <t>1 person / shift + 1 general</t>
  </si>
  <si>
    <t>DEO</t>
  </si>
  <si>
    <t>1 DEO / shift</t>
  </si>
  <si>
    <t>1*3</t>
  </si>
  <si>
    <t>Cross Hemming</t>
  </si>
  <si>
    <t>Barudan &amp; Schmale</t>
  </si>
  <si>
    <t>1 operator / machine / shift</t>
  </si>
  <si>
    <t>13% of Barudan &amp; Schmale</t>
  </si>
  <si>
    <t>Trolley Feeder to CH</t>
  </si>
  <si>
    <t>Jobber</t>
  </si>
  <si>
    <t>Barudan Drop Collection</t>
  </si>
  <si>
    <t>3 persons / shift + 1 general</t>
  </si>
  <si>
    <t>(3*3)+1</t>
  </si>
  <si>
    <t>Cross Hemming Semi-Automatic</t>
  </si>
  <si>
    <t>CH Semi-Automatic</t>
  </si>
  <si>
    <t>1 jobber / shift</t>
  </si>
  <si>
    <t>Material movement Helper</t>
  </si>
  <si>
    <t>1 helper per 2 machines / shift</t>
  </si>
  <si>
    <t>CH Alter Operator</t>
  </si>
  <si>
    <t>2 persons / shift</t>
  </si>
  <si>
    <t>2*3</t>
  </si>
  <si>
    <t>Packer (11 MMR ratio)</t>
  </si>
  <si>
    <t>11 MMR ratio</t>
  </si>
  <si>
    <t>Carton Packer (5.1 MMR ratio)</t>
  </si>
  <si>
    <t>5.1 MMR ratio</t>
  </si>
  <si>
    <t>JUKI Alteration - Automatic Section</t>
  </si>
  <si>
    <t>Cross Rework- Barudan</t>
  </si>
  <si>
    <t>Barudan machines above 8</t>
  </si>
  <si>
    <t>Cross Rework- Schmale</t>
  </si>
  <si>
    <t>8 Schmale machines</t>
  </si>
  <si>
    <t>8*1*3</t>
  </si>
  <si>
    <t>Length Rework</t>
  </si>
  <si>
    <t>Length Seam Opening (1.6 MMR)</t>
  </si>
  <si>
    <t>1.6 MMR</t>
  </si>
  <si>
    <t>Mending &amp; PCs recovery of Stitch</t>
  </si>
  <si>
    <t>0.4 MMR</t>
  </si>
  <si>
    <t>Material Feeding to Tailor</t>
  </si>
  <si>
    <t>0.24 MMR</t>
  </si>
  <si>
    <t>Line Jobber</t>
  </si>
  <si>
    <t>Label Cutting</t>
  </si>
  <si>
    <t>1 person / shift</t>
  </si>
  <si>
    <t>Manual JUKI Section</t>
  </si>
  <si>
    <t>Towel Cross Cutting</t>
  </si>
  <si>
    <t>Manual LH machines / shift</t>
  </si>
  <si>
    <t>Down Grade - Tailor</t>
  </si>
  <si>
    <t>8 tailors / shift</t>
  </si>
  <si>
    <t>8*3</t>
  </si>
  <si>
    <t>Helper - Down Grade</t>
  </si>
  <si>
    <t>3 helpers / shift</t>
  </si>
  <si>
    <t>Tailor - Length Rework</t>
  </si>
  <si>
    <t>1 tailor / machine / shift</t>
  </si>
  <si>
    <t>Length Seam Opening (4.31 MMR)</t>
  </si>
  <si>
    <t>4.31 MMR</t>
  </si>
  <si>
    <t>Tailor - Company Line</t>
  </si>
  <si>
    <t>Line Feeding (0.36 MMR)</t>
  </si>
  <si>
    <t>0.36 MMR</t>
  </si>
  <si>
    <t>Stain &amp; Mending (0.67 MMR)</t>
  </si>
  <si>
    <t>0.67 MMR</t>
  </si>
  <si>
    <t>Tailor - Contract Line</t>
  </si>
  <si>
    <t>Helper - Contract Line</t>
  </si>
  <si>
    <t>2.1 MMR</t>
  </si>
  <si>
    <t>Maintenance</t>
  </si>
  <si>
    <t>Barudan &amp; Schmale - Fitter &amp; PM</t>
  </si>
  <si>
    <t>8 fitters / shift</t>
  </si>
  <si>
    <t>L/C &amp; L/H - Fitter &amp; PM</t>
  </si>
  <si>
    <t>3 fitters / shift</t>
  </si>
  <si>
    <t>Juki - Fitter &amp; PM</t>
  </si>
  <si>
    <t>4 fitters / shift</t>
  </si>
  <si>
    <t>Polybag - Fitter</t>
  </si>
  <si>
    <t>2+2+1</t>
  </si>
  <si>
    <t>Documentation / Spare Store</t>
  </si>
  <si>
    <t>1 general shift</t>
  </si>
  <si>
    <t>1*1</t>
  </si>
  <si>
    <t>Sharp Tool Control &amp; General Work</t>
  </si>
  <si>
    <t>Packing</t>
  </si>
  <si>
    <t>Production Entry &amp; Barcode Printing</t>
  </si>
  <si>
    <t>Auto Poly Packing Operator</t>
  </si>
  <si>
    <t>10 machines / shift</t>
  </si>
  <si>
    <t>10*1*3</t>
  </si>
  <si>
    <t>Material Movement from Sewing to Packing</t>
  </si>
  <si>
    <t>6 persons / shift</t>
  </si>
  <si>
    <t>6*3</t>
  </si>
  <si>
    <t>Poly Packing (0.46 MMR)</t>
  </si>
  <si>
    <t>Carton Packer</t>
  </si>
  <si>
    <t>0.93 MMR</t>
  </si>
  <si>
    <t>Auto Carton Sealing</t>
  </si>
  <si>
    <t>Floor Operators</t>
  </si>
  <si>
    <t>Packing - Jobber</t>
  </si>
  <si>
    <t>5 jobbers / shift</t>
  </si>
  <si>
    <t>5*3</t>
  </si>
  <si>
    <t>Auto Wrapping M/C</t>
  </si>
  <si>
    <t>1 operator / shift</t>
  </si>
  <si>
    <t>Manual Strapping M/C</t>
  </si>
  <si>
    <t>8 operators / shift</t>
  </si>
  <si>
    <t>Carton Issue Slip &amp; CTN Sticker</t>
  </si>
  <si>
    <t>5 persons / shift</t>
  </si>
  <si>
    <t>Re-Packing</t>
  </si>
  <si>
    <t>Order Tracking</t>
  </si>
  <si>
    <t>Trims Sub Store</t>
  </si>
  <si>
    <t>Trims Issue for Stitching &amp; Packing</t>
  </si>
  <si>
    <t>Oddman Center</t>
  </si>
  <si>
    <t>Down Grade Packing</t>
  </si>
  <si>
    <t>House Keeping</t>
  </si>
  <si>
    <t>Anjar</t>
  </si>
  <si>
    <t>TQM</t>
  </si>
  <si>
    <t>TT TQM</t>
  </si>
  <si>
    <t>Terry Towel - Cut &amp; Sew</t>
  </si>
  <si>
    <t>(1+3)+1</t>
  </si>
  <si>
    <t>LC!J21*2*3</t>
  </si>
  <si>
    <t>('LH-A'!J18+'LM-M'!J19)*3</t>
  </si>
  <si>
    <t>ACH!J12*3</t>
  </si>
  <si>
    <t>ROUNDUP(K10*13%,0)</t>
  </si>
  <si>
    <t>SACH!J11*1*3</t>
  </si>
  <si>
    <t>ROUNDUP(SACH!J11/2,0)*3</t>
  </si>
  <si>
    <t>SACH!J11*11</t>
  </si>
  <si>
    <t>SACH!J11*5.1</t>
  </si>
  <si>
    <t>(ASCAM!J14-8)*1*3</t>
  </si>
  <si>
    <t>ASLAM!J14*1*3</t>
  </si>
  <si>
    <t>ROUNDUP(ASLAM!J14*1.6,0)</t>
  </si>
  <si>
    <t>ROUND(('LH-A'!J18+'LM-M'!J19)*0.4,0)</t>
  </si>
  <si>
    <t>ROUND((ASCAM!J14)*0.24,0)</t>
  </si>
  <si>
    <t>'LM-M'!J19*3</t>
  </si>
  <si>
    <t>MSLAM!J14*1*3</t>
  </si>
  <si>
    <t>ROUND(MSLAM!J14*4.31,0)</t>
  </si>
  <si>
    <t>MMNO!J16*1*3</t>
  </si>
  <si>
    <t>ROUND(MMNO!J16*0.36,0)</t>
  </si>
  <si>
    <t>ROUND(MMNO!J16*0.67,0)</t>
  </si>
  <si>
    <t>MMCO!J15*1*3</t>
  </si>
  <si>
    <t>ROUND(MMCO!J15*2.1,0)</t>
  </si>
  <si>
    <t>(('WLL Overall'!E11/1000/0.46)-51+36)+(17*3)</t>
  </si>
  <si>
    <t>'WLL Overall'!E11/1000/0.93</t>
  </si>
  <si>
    <t>(0.46 MMR) (51 CON 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</si>
</sst>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#,##0.000000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2" fontId="0" fillId="0" borderId="0" xfId="0" applyNumberFormat="1"/>
    <xf numFmtId="43" fontId="0" fillId="0" borderId="0" xfId="0" applyNumberFormat="1"/>
    <xf numFmtId="166" fontId="0" fillId="0" borderId="0" xfId="0" applyNumberFormat="1"/>
    <xf numFmtId="9" fontId="0" fillId="0" borderId="0" xfId="0" applyNumberFormat="1"/>
    <xf numFmtId="164" fontId="0" fillId="0" borderId="0" xfId="0" applyNumberFormat="1"/>
    <xf numFmtId="164" fontId="1" fillId="0" borderId="1" xfId="0" applyNumberFormat="1" applyFont="1" applyBorder="1" applyAlignment="1">
      <alignment horizontal="right" vertical="center"/>
    </xf>
    <xf numFmtId="1" fontId="0" fillId="0" borderId="0" xfId="0" applyNumberFormat="1"/>
    <xf numFmtId="165" fontId="0" fillId="0" borderId="0" xfId="0" applyNumberFormat="1"/>
    <xf numFmtId="167" fontId="0" fillId="0" borderId="0" xfId="0" applyNumberFormat="1"/>
    <xf numFmtId="166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4926-66A9-4811-BF94-B863183C2DE2}">
  <dimension ref="A1:W67"/>
  <sheetViews>
    <sheetView showFormulas="1" topLeftCell="F31" zoomScale="78" zoomScaleNormal="40" workbookViewId="0">
      <selection activeCell="J52" sqref="J52"/>
    </sheetView>
  </sheetViews>
  <sheetFormatPr defaultRowHeight="14.4" x14ac:dyDescent="0.55000000000000004"/>
  <cols>
    <col min="1" max="1" width="8.1015625" bestFit="1" customWidth="1"/>
    <col min="2" max="2" width="10.68359375" bestFit="1" customWidth="1"/>
    <col min="3" max="3" width="20.7890625" bestFit="1" customWidth="1"/>
    <col min="4" max="4" width="6" bestFit="1" customWidth="1"/>
    <col min="5" max="5" width="30.1015625" bestFit="1" customWidth="1"/>
    <col min="6" max="6" width="37.20703125" bestFit="1" customWidth="1"/>
    <col min="7" max="7" width="14" bestFit="1" customWidth="1"/>
    <col min="8" max="8" width="18.89453125" bestFit="1" customWidth="1"/>
    <col min="9" max="9" width="25.89453125" bestFit="1" customWidth="1"/>
    <col min="10" max="10" width="31.68359375" bestFit="1" customWidth="1"/>
    <col min="11" max="11" width="21.68359375" bestFit="1" customWidth="1"/>
    <col min="12" max="12" width="13.41796875" bestFit="1" customWidth="1"/>
    <col min="13" max="13" width="10.68359375" bestFit="1" customWidth="1"/>
    <col min="14" max="14" width="17.68359375" bestFit="1" customWidth="1"/>
    <col min="15" max="15" width="18" bestFit="1" customWidth="1"/>
    <col min="16" max="16" width="6.89453125" bestFit="1" customWidth="1"/>
    <col min="17" max="17" width="12" bestFit="1" customWidth="1"/>
    <col min="18" max="20" width="6.7890625" bestFit="1" customWidth="1"/>
    <col min="21" max="21" width="7.5234375" bestFit="1" customWidth="1"/>
    <col min="22" max="22" width="8" bestFit="1" customWidth="1"/>
    <col min="23" max="23" width="10.68359375" bestFit="1" customWidth="1"/>
  </cols>
  <sheetData>
    <row r="1" spans="1:23" x14ac:dyDescent="0.55000000000000004">
      <c r="A1" t="s">
        <v>110</v>
      </c>
      <c r="B1" t="s">
        <v>111</v>
      </c>
      <c r="C1" t="s">
        <v>74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</row>
    <row r="2" spans="1:23" x14ac:dyDescent="0.55000000000000004">
      <c r="A2" t="s">
        <v>256</v>
      </c>
      <c r="B2" t="s">
        <v>132</v>
      </c>
      <c r="C2" t="s">
        <v>259</v>
      </c>
      <c r="D2">
        <v>1</v>
      </c>
      <c r="E2" t="s">
        <v>133</v>
      </c>
      <c r="F2" t="s">
        <v>134</v>
      </c>
      <c r="H2">
        <v>4</v>
      </c>
      <c r="I2" t="s">
        <v>135</v>
      </c>
      <c r="J2" t="s">
        <v>136</v>
      </c>
      <c r="K2">
        <f>4*3</f>
        <v>12</v>
      </c>
      <c r="L2" t="s">
        <v>137</v>
      </c>
      <c r="M2">
        <v>0</v>
      </c>
      <c r="N2">
        <v>12</v>
      </c>
      <c r="O2">
        <v>12</v>
      </c>
      <c r="P2">
        <v>3</v>
      </c>
      <c r="Q2">
        <v>0</v>
      </c>
      <c r="R2">
        <v>4</v>
      </c>
      <c r="S2">
        <v>4</v>
      </c>
      <c r="T2">
        <v>4</v>
      </c>
      <c r="U2">
        <v>0</v>
      </c>
      <c r="W2" t="s">
        <v>138</v>
      </c>
    </row>
    <row r="3" spans="1:23" x14ac:dyDescent="0.55000000000000004">
      <c r="A3" t="s">
        <v>256</v>
      </c>
      <c r="B3" t="s">
        <v>132</v>
      </c>
      <c r="C3" t="s">
        <v>259</v>
      </c>
      <c r="D3">
        <v>2</v>
      </c>
      <c r="E3" t="s">
        <v>133</v>
      </c>
      <c r="F3" t="s">
        <v>139</v>
      </c>
      <c r="G3">
        <v>3</v>
      </c>
      <c r="H3">
        <v>2</v>
      </c>
      <c r="I3" t="s">
        <v>140</v>
      </c>
      <c r="J3" t="s">
        <v>261</v>
      </c>
      <c r="K3">
        <f>LC!J21*2*3</f>
        <v>18</v>
      </c>
      <c r="L3" t="s">
        <v>137</v>
      </c>
      <c r="M3">
        <v>0</v>
      </c>
      <c r="N3">
        <v>18</v>
      </c>
      <c r="O3">
        <v>18</v>
      </c>
      <c r="P3">
        <v>3</v>
      </c>
      <c r="Q3">
        <v>0</v>
      </c>
      <c r="R3">
        <v>6</v>
      </c>
      <c r="S3">
        <v>6</v>
      </c>
      <c r="T3">
        <v>6</v>
      </c>
      <c r="U3">
        <v>0</v>
      </c>
      <c r="W3" t="s">
        <v>141</v>
      </c>
    </row>
    <row r="4" spans="1:23" x14ac:dyDescent="0.55000000000000004">
      <c r="A4" t="s">
        <v>256</v>
      </c>
      <c r="B4" t="s">
        <v>132</v>
      </c>
      <c r="C4" t="s">
        <v>259</v>
      </c>
      <c r="D4">
        <v>3</v>
      </c>
      <c r="E4" t="s">
        <v>142</v>
      </c>
      <c r="F4" t="s">
        <v>143</v>
      </c>
      <c r="G4">
        <v>31</v>
      </c>
      <c r="I4" t="s">
        <v>144</v>
      </c>
      <c r="J4" t="s">
        <v>262</v>
      </c>
      <c r="K4" s="3">
        <f>('LH-A'!J18+'LM-M'!J19)*3</f>
        <v>93</v>
      </c>
      <c r="L4" t="s">
        <v>137</v>
      </c>
      <c r="M4">
        <v>0</v>
      </c>
      <c r="N4">
        <v>93</v>
      </c>
      <c r="O4">
        <v>93</v>
      </c>
      <c r="P4">
        <v>3</v>
      </c>
      <c r="Q4">
        <v>0</v>
      </c>
      <c r="R4">
        <v>31</v>
      </c>
      <c r="S4">
        <v>31</v>
      </c>
      <c r="T4">
        <v>31</v>
      </c>
      <c r="U4">
        <v>0</v>
      </c>
      <c r="W4" t="s">
        <v>141</v>
      </c>
    </row>
    <row r="5" spans="1:23" x14ac:dyDescent="0.55000000000000004">
      <c r="A5" t="s">
        <v>256</v>
      </c>
      <c r="B5" t="s">
        <v>132</v>
      </c>
      <c r="C5" t="s">
        <v>259</v>
      </c>
      <c r="D5">
        <v>4</v>
      </c>
      <c r="E5" t="s">
        <v>142</v>
      </c>
      <c r="F5" t="s">
        <v>145</v>
      </c>
      <c r="H5">
        <v>3</v>
      </c>
      <c r="I5" t="s">
        <v>146</v>
      </c>
      <c r="J5" t="s">
        <v>147</v>
      </c>
      <c r="K5">
        <f>3*3</f>
        <v>9</v>
      </c>
      <c r="L5" t="s">
        <v>137</v>
      </c>
      <c r="M5">
        <v>0</v>
      </c>
      <c r="N5">
        <v>9</v>
      </c>
      <c r="O5">
        <v>9</v>
      </c>
      <c r="P5">
        <v>3</v>
      </c>
      <c r="Q5">
        <v>0</v>
      </c>
      <c r="R5">
        <v>3</v>
      </c>
      <c r="S5">
        <v>3</v>
      </c>
      <c r="T5">
        <v>3</v>
      </c>
      <c r="U5">
        <v>0</v>
      </c>
      <c r="W5" t="s">
        <v>138</v>
      </c>
    </row>
    <row r="6" spans="1:23" x14ac:dyDescent="0.55000000000000004">
      <c r="A6" t="s">
        <v>256</v>
      </c>
      <c r="B6" t="s">
        <v>132</v>
      </c>
      <c r="C6" t="s">
        <v>259</v>
      </c>
      <c r="D6">
        <v>5</v>
      </c>
      <c r="E6" t="s">
        <v>142</v>
      </c>
      <c r="F6" t="s">
        <v>148</v>
      </c>
      <c r="H6">
        <v>0</v>
      </c>
      <c r="I6" t="s">
        <v>149</v>
      </c>
      <c r="J6">
        <v>0</v>
      </c>
      <c r="K6">
        <v>0</v>
      </c>
      <c r="L6" t="s">
        <v>137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  <c r="S6">
        <v>0</v>
      </c>
      <c r="T6">
        <v>0</v>
      </c>
      <c r="U6">
        <v>0</v>
      </c>
      <c r="W6" t="s">
        <v>138</v>
      </c>
    </row>
    <row r="7" spans="1:23" x14ac:dyDescent="0.55000000000000004">
      <c r="A7" t="s">
        <v>256</v>
      </c>
      <c r="B7" t="s">
        <v>132</v>
      </c>
      <c r="C7" t="s">
        <v>259</v>
      </c>
      <c r="D7">
        <v>6</v>
      </c>
      <c r="E7" t="s">
        <v>142</v>
      </c>
      <c r="F7" t="s">
        <v>150</v>
      </c>
      <c r="H7">
        <v>3</v>
      </c>
      <c r="I7" t="s">
        <v>151</v>
      </c>
      <c r="J7" t="s">
        <v>147</v>
      </c>
      <c r="K7">
        <f>3*3</f>
        <v>9</v>
      </c>
      <c r="L7" t="s">
        <v>137</v>
      </c>
      <c r="M7">
        <v>0</v>
      </c>
      <c r="N7">
        <v>9</v>
      </c>
      <c r="O7">
        <v>9</v>
      </c>
      <c r="P7">
        <v>3</v>
      </c>
      <c r="Q7">
        <v>0</v>
      </c>
      <c r="R7">
        <v>3</v>
      </c>
      <c r="S7">
        <v>3</v>
      </c>
      <c r="T7">
        <v>3</v>
      </c>
      <c r="U7">
        <v>0</v>
      </c>
      <c r="W7" t="s">
        <v>141</v>
      </c>
    </row>
    <row r="8" spans="1:23" x14ac:dyDescent="0.55000000000000004">
      <c r="A8" t="s">
        <v>256</v>
      </c>
      <c r="B8" t="s">
        <v>132</v>
      </c>
      <c r="C8" t="s">
        <v>259</v>
      </c>
      <c r="D8">
        <v>7</v>
      </c>
      <c r="E8" t="s">
        <v>142</v>
      </c>
      <c r="F8" t="s">
        <v>152</v>
      </c>
      <c r="H8">
        <v>1</v>
      </c>
      <c r="I8" t="s">
        <v>153</v>
      </c>
      <c r="J8" t="s">
        <v>260</v>
      </c>
      <c r="K8">
        <f>(1+3)+1</f>
        <v>5</v>
      </c>
      <c r="L8" t="s">
        <v>137</v>
      </c>
      <c r="M8">
        <v>0</v>
      </c>
      <c r="N8">
        <v>4</v>
      </c>
      <c r="O8">
        <v>4</v>
      </c>
      <c r="P8">
        <v>3</v>
      </c>
      <c r="Q8">
        <v>0</v>
      </c>
      <c r="R8">
        <v>2</v>
      </c>
      <c r="S8">
        <v>1</v>
      </c>
      <c r="T8">
        <v>1</v>
      </c>
      <c r="U8">
        <v>0</v>
      </c>
      <c r="W8" t="s">
        <v>138</v>
      </c>
    </row>
    <row r="9" spans="1:23" x14ac:dyDescent="0.55000000000000004">
      <c r="A9" t="s">
        <v>256</v>
      </c>
      <c r="B9" t="s">
        <v>132</v>
      </c>
      <c r="C9" t="s">
        <v>259</v>
      </c>
      <c r="D9">
        <v>8</v>
      </c>
      <c r="E9" t="s">
        <v>142</v>
      </c>
      <c r="F9" t="s">
        <v>154</v>
      </c>
      <c r="H9">
        <v>1</v>
      </c>
      <c r="I9" t="s">
        <v>155</v>
      </c>
      <c r="J9" t="s">
        <v>156</v>
      </c>
      <c r="K9">
        <f>1*3</f>
        <v>3</v>
      </c>
      <c r="L9" t="s">
        <v>137</v>
      </c>
      <c r="M9">
        <v>0</v>
      </c>
      <c r="N9">
        <v>3</v>
      </c>
      <c r="O9">
        <v>3</v>
      </c>
      <c r="P9">
        <v>3</v>
      </c>
      <c r="Q9">
        <v>0</v>
      </c>
      <c r="R9">
        <v>1</v>
      </c>
      <c r="S9">
        <v>1</v>
      </c>
      <c r="T9">
        <v>1</v>
      </c>
      <c r="U9">
        <v>0</v>
      </c>
      <c r="W9" t="s">
        <v>141</v>
      </c>
    </row>
    <row r="10" spans="1:23" x14ac:dyDescent="0.55000000000000004">
      <c r="A10" t="s">
        <v>256</v>
      </c>
      <c r="B10" t="s">
        <v>132</v>
      </c>
      <c r="C10" t="s">
        <v>259</v>
      </c>
      <c r="D10">
        <v>9</v>
      </c>
      <c r="E10" t="s">
        <v>157</v>
      </c>
      <c r="F10" t="s">
        <v>158</v>
      </c>
      <c r="G10">
        <v>63</v>
      </c>
      <c r="I10" t="s">
        <v>159</v>
      </c>
      <c r="J10" t="s">
        <v>263</v>
      </c>
      <c r="K10">
        <f>ACH!J12*3</f>
        <v>189</v>
      </c>
      <c r="L10" t="s">
        <v>137</v>
      </c>
      <c r="M10">
        <v>0</v>
      </c>
      <c r="N10">
        <v>189</v>
      </c>
      <c r="O10">
        <v>189</v>
      </c>
      <c r="P10">
        <v>3</v>
      </c>
      <c r="Q10">
        <v>0</v>
      </c>
      <c r="R10">
        <v>64</v>
      </c>
      <c r="S10">
        <v>64</v>
      </c>
      <c r="T10">
        <v>64</v>
      </c>
      <c r="U10">
        <v>0</v>
      </c>
      <c r="W10" t="s">
        <v>141</v>
      </c>
    </row>
    <row r="11" spans="1:23" x14ac:dyDescent="0.55000000000000004">
      <c r="A11" t="s">
        <v>256</v>
      </c>
      <c r="B11" t="s">
        <v>132</v>
      </c>
      <c r="C11" t="s">
        <v>259</v>
      </c>
      <c r="D11">
        <v>10</v>
      </c>
      <c r="E11" t="s">
        <v>157</v>
      </c>
      <c r="F11" t="s">
        <v>129</v>
      </c>
      <c r="H11">
        <v>0.13</v>
      </c>
      <c r="I11" t="s">
        <v>160</v>
      </c>
      <c r="J11" t="s">
        <v>264</v>
      </c>
      <c r="K11">
        <f>ROUNDUP(K10*13%,0)</f>
        <v>25</v>
      </c>
      <c r="L11" t="s">
        <v>137</v>
      </c>
      <c r="M11">
        <v>0</v>
      </c>
      <c r="N11">
        <v>25</v>
      </c>
      <c r="O11">
        <v>25</v>
      </c>
      <c r="P11">
        <v>3</v>
      </c>
      <c r="Q11">
        <v>0</v>
      </c>
      <c r="R11">
        <v>9</v>
      </c>
      <c r="S11">
        <v>8</v>
      </c>
      <c r="T11">
        <v>8</v>
      </c>
      <c r="U11">
        <v>0</v>
      </c>
      <c r="W11" t="s">
        <v>141</v>
      </c>
    </row>
    <row r="12" spans="1:23" x14ac:dyDescent="0.55000000000000004">
      <c r="A12" t="s">
        <v>256</v>
      </c>
      <c r="B12" t="s">
        <v>132</v>
      </c>
      <c r="C12" t="s">
        <v>259</v>
      </c>
      <c r="D12">
        <v>11</v>
      </c>
      <c r="E12" t="s">
        <v>157</v>
      </c>
      <c r="F12" t="s">
        <v>161</v>
      </c>
      <c r="H12">
        <v>4</v>
      </c>
      <c r="I12" t="s">
        <v>135</v>
      </c>
      <c r="J12" t="s">
        <v>136</v>
      </c>
      <c r="K12">
        <f>4*3</f>
        <v>12</v>
      </c>
      <c r="L12" t="s">
        <v>137</v>
      </c>
      <c r="M12">
        <v>0</v>
      </c>
      <c r="N12">
        <v>12</v>
      </c>
      <c r="O12">
        <v>12</v>
      </c>
      <c r="P12">
        <v>3</v>
      </c>
      <c r="Q12">
        <v>0</v>
      </c>
      <c r="R12">
        <v>4</v>
      </c>
      <c r="S12">
        <v>4</v>
      </c>
      <c r="T12">
        <v>4</v>
      </c>
      <c r="U12">
        <v>0</v>
      </c>
      <c r="W12" t="s">
        <v>138</v>
      </c>
    </row>
    <row r="13" spans="1:23" x14ac:dyDescent="0.55000000000000004">
      <c r="A13" t="s">
        <v>256</v>
      </c>
      <c r="B13" t="s">
        <v>132</v>
      </c>
      <c r="C13" t="s">
        <v>259</v>
      </c>
      <c r="D13">
        <v>12</v>
      </c>
      <c r="E13" t="s">
        <v>157</v>
      </c>
      <c r="F13" t="s">
        <v>162</v>
      </c>
      <c r="H13">
        <v>3</v>
      </c>
      <c r="I13" t="s">
        <v>151</v>
      </c>
      <c r="J13" t="s">
        <v>147</v>
      </c>
      <c r="K13">
        <f>3*3</f>
        <v>9</v>
      </c>
      <c r="L13" t="s">
        <v>137</v>
      </c>
      <c r="M13">
        <v>0</v>
      </c>
      <c r="N13">
        <v>9</v>
      </c>
      <c r="O13">
        <v>9</v>
      </c>
      <c r="P13">
        <v>3</v>
      </c>
      <c r="Q13">
        <v>0</v>
      </c>
      <c r="R13">
        <v>3</v>
      </c>
      <c r="S13">
        <v>3</v>
      </c>
      <c r="T13">
        <v>3</v>
      </c>
      <c r="U13">
        <v>0</v>
      </c>
      <c r="W13" t="s">
        <v>141</v>
      </c>
    </row>
    <row r="14" spans="1:23" x14ac:dyDescent="0.55000000000000004">
      <c r="A14" t="s">
        <v>256</v>
      </c>
      <c r="B14" t="s">
        <v>132</v>
      </c>
      <c r="C14" t="s">
        <v>259</v>
      </c>
      <c r="D14">
        <v>13</v>
      </c>
      <c r="E14" t="s">
        <v>157</v>
      </c>
      <c r="F14" t="s">
        <v>154</v>
      </c>
      <c r="H14">
        <v>1</v>
      </c>
      <c r="I14" t="s">
        <v>155</v>
      </c>
      <c r="J14" t="s">
        <v>156</v>
      </c>
      <c r="K14">
        <f>1*3</f>
        <v>3</v>
      </c>
      <c r="L14" t="s">
        <v>137</v>
      </c>
      <c r="M14">
        <v>0</v>
      </c>
      <c r="N14">
        <v>3</v>
      </c>
      <c r="O14">
        <v>3</v>
      </c>
      <c r="P14">
        <v>3</v>
      </c>
      <c r="Q14">
        <v>0</v>
      </c>
      <c r="R14">
        <v>1</v>
      </c>
      <c r="S14">
        <v>1</v>
      </c>
      <c r="T14">
        <v>1</v>
      </c>
      <c r="U14">
        <v>0</v>
      </c>
      <c r="W14" t="s">
        <v>141</v>
      </c>
    </row>
    <row r="15" spans="1:23" x14ac:dyDescent="0.55000000000000004">
      <c r="A15" t="s">
        <v>256</v>
      </c>
      <c r="B15" t="s">
        <v>132</v>
      </c>
      <c r="C15" t="s">
        <v>259</v>
      </c>
      <c r="D15">
        <v>14</v>
      </c>
      <c r="E15" t="s">
        <v>157</v>
      </c>
      <c r="F15" t="s">
        <v>163</v>
      </c>
      <c r="H15">
        <v>3</v>
      </c>
      <c r="I15" t="s">
        <v>164</v>
      </c>
      <c r="J15" t="s">
        <v>165</v>
      </c>
      <c r="K15">
        <f>(3*3)+1</f>
        <v>10</v>
      </c>
      <c r="L15" t="s">
        <v>137</v>
      </c>
      <c r="M15">
        <v>0</v>
      </c>
      <c r="N15">
        <v>10</v>
      </c>
      <c r="O15">
        <v>10</v>
      </c>
      <c r="P15">
        <v>3</v>
      </c>
      <c r="Q15">
        <v>0</v>
      </c>
      <c r="R15">
        <v>4</v>
      </c>
      <c r="S15">
        <v>3</v>
      </c>
      <c r="T15">
        <v>3</v>
      </c>
      <c r="U15">
        <v>0</v>
      </c>
      <c r="W15" t="s">
        <v>138</v>
      </c>
    </row>
    <row r="16" spans="1:23" x14ac:dyDescent="0.55000000000000004">
      <c r="A16" t="s">
        <v>256</v>
      </c>
      <c r="B16" t="s">
        <v>132</v>
      </c>
      <c r="C16" t="s">
        <v>259</v>
      </c>
      <c r="D16">
        <v>15</v>
      </c>
      <c r="E16" t="s">
        <v>166</v>
      </c>
      <c r="F16" t="s">
        <v>167</v>
      </c>
      <c r="G16">
        <v>11</v>
      </c>
      <c r="H16">
        <v>11</v>
      </c>
      <c r="I16" t="s">
        <v>159</v>
      </c>
      <c r="J16" t="s">
        <v>265</v>
      </c>
      <c r="K16">
        <f>SACH!J11*1*3</f>
        <v>33</v>
      </c>
      <c r="L16" t="s">
        <v>137</v>
      </c>
      <c r="M16">
        <v>0</v>
      </c>
      <c r="N16">
        <v>33</v>
      </c>
      <c r="O16">
        <v>33</v>
      </c>
      <c r="P16">
        <v>3</v>
      </c>
      <c r="Q16">
        <v>0</v>
      </c>
      <c r="R16">
        <v>9</v>
      </c>
      <c r="S16">
        <v>9</v>
      </c>
      <c r="T16">
        <v>9</v>
      </c>
      <c r="U16">
        <v>0</v>
      </c>
      <c r="W16" t="s">
        <v>141</v>
      </c>
    </row>
    <row r="17" spans="1:23" x14ac:dyDescent="0.55000000000000004">
      <c r="A17" t="s">
        <v>256</v>
      </c>
      <c r="B17" t="s">
        <v>132</v>
      </c>
      <c r="C17" t="s">
        <v>259</v>
      </c>
      <c r="D17">
        <v>16</v>
      </c>
      <c r="E17" t="s">
        <v>166</v>
      </c>
      <c r="F17" t="s">
        <v>162</v>
      </c>
      <c r="H17">
        <v>1</v>
      </c>
      <c r="I17" t="s">
        <v>168</v>
      </c>
      <c r="J17" t="s">
        <v>156</v>
      </c>
      <c r="K17">
        <f>1*3</f>
        <v>3</v>
      </c>
      <c r="L17" t="s">
        <v>137</v>
      </c>
      <c r="M17">
        <v>0</v>
      </c>
      <c r="N17">
        <v>3</v>
      </c>
      <c r="O17">
        <v>3</v>
      </c>
      <c r="P17">
        <v>3</v>
      </c>
      <c r="Q17">
        <v>0</v>
      </c>
      <c r="R17">
        <v>1</v>
      </c>
      <c r="S17">
        <v>1</v>
      </c>
      <c r="T17">
        <v>1</v>
      </c>
      <c r="U17">
        <v>0</v>
      </c>
      <c r="W17" t="s">
        <v>141</v>
      </c>
    </row>
    <row r="18" spans="1:23" x14ac:dyDescent="0.55000000000000004">
      <c r="A18" t="s">
        <v>256</v>
      </c>
      <c r="B18" t="s">
        <v>132</v>
      </c>
      <c r="C18" t="s">
        <v>259</v>
      </c>
      <c r="D18">
        <v>17</v>
      </c>
      <c r="E18" t="s">
        <v>166</v>
      </c>
      <c r="F18" t="s">
        <v>169</v>
      </c>
      <c r="H18">
        <v>11</v>
      </c>
      <c r="I18" t="s">
        <v>170</v>
      </c>
      <c r="J18" t="s">
        <v>266</v>
      </c>
      <c r="K18">
        <f>ROUNDUP(SACH!J11/2,0)*3</f>
        <v>18</v>
      </c>
      <c r="L18" t="s">
        <v>137</v>
      </c>
      <c r="M18">
        <v>0</v>
      </c>
      <c r="N18">
        <v>18</v>
      </c>
      <c r="O18">
        <v>18</v>
      </c>
      <c r="P18">
        <v>3</v>
      </c>
      <c r="Q18">
        <v>0</v>
      </c>
      <c r="R18">
        <v>5</v>
      </c>
      <c r="S18">
        <v>5</v>
      </c>
      <c r="T18">
        <v>5</v>
      </c>
      <c r="U18">
        <v>0</v>
      </c>
      <c r="W18" t="s">
        <v>138</v>
      </c>
    </row>
    <row r="19" spans="1:23" x14ac:dyDescent="0.55000000000000004">
      <c r="A19" t="s">
        <v>256</v>
      </c>
      <c r="B19" t="s">
        <v>132</v>
      </c>
      <c r="C19" t="s">
        <v>259</v>
      </c>
      <c r="D19">
        <v>18</v>
      </c>
      <c r="E19" t="s">
        <v>166</v>
      </c>
      <c r="F19" t="s">
        <v>171</v>
      </c>
      <c r="H19">
        <v>2</v>
      </c>
      <c r="I19" t="s">
        <v>172</v>
      </c>
      <c r="J19" t="s">
        <v>173</v>
      </c>
      <c r="K19">
        <f>2*3</f>
        <v>6</v>
      </c>
      <c r="L19" t="s">
        <v>137</v>
      </c>
      <c r="M19">
        <v>0</v>
      </c>
      <c r="N19">
        <v>6</v>
      </c>
      <c r="O19">
        <v>6</v>
      </c>
      <c r="P19">
        <v>3</v>
      </c>
      <c r="Q19">
        <v>0</v>
      </c>
      <c r="R19">
        <v>2</v>
      </c>
      <c r="S19">
        <v>2</v>
      </c>
      <c r="T19">
        <v>2</v>
      </c>
      <c r="U19">
        <v>0</v>
      </c>
      <c r="W19" t="s">
        <v>141</v>
      </c>
    </row>
    <row r="20" spans="1:23" x14ac:dyDescent="0.55000000000000004">
      <c r="A20" t="s">
        <v>256</v>
      </c>
      <c r="B20" t="s">
        <v>132</v>
      </c>
      <c r="C20" t="s">
        <v>259</v>
      </c>
      <c r="D20">
        <v>19</v>
      </c>
      <c r="E20" t="s">
        <v>166</v>
      </c>
      <c r="F20" t="s">
        <v>174</v>
      </c>
      <c r="H20">
        <v>11</v>
      </c>
      <c r="I20" t="s">
        <v>175</v>
      </c>
      <c r="J20" t="s">
        <v>267</v>
      </c>
      <c r="K20">
        <f>SACH!J11*11</f>
        <v>121</v>
      </c>
      <c r="L20" t="s">
        <v>137</v>
      </c>
      <c r="M20">
        <v>0</v>
      </c>
      <c r="N20">
        <v>121</v>
      </c>
      <c r="O20">
        <v>121</v>
      </c>
      <c r="P20">
        <v>3</v>
      </c>
      <c r="Q20">
        <v>0</v>
      </c>
      <c r="R20">
        <v>33</v>
      </c>
      <c r="S20">
        <v>33</v>
      </c>
      <c r="T20">
        <v>33</v>
      </c>
      <c r="U20">
        <v>0</v>
      </c>
      <c r="W20" t="s">
        <v>138</v>
      </c>
    </row>
    <row r="21" spans="1:23" x14ac:dyDescent="0.55000000000000004">
      <c r="A21" t="s">
        <v>256</v>
      </c>
      <c r="B21" t="s">
        <v>132</v>
      </c>
      <c r="C21" t="s">
        <v>259</v>
      </c>
      <c r="D21">
        <v>20</v>
      </c>
      <c r="E21" t="s">
        <v>166</v>
      </c>
      <c r="F21" t="s">
        <v>176</v>
      </c>
      <c r="H21">
        <v>5.0999999999999996</v>
      </c>
      <c r="I21" t="s">
        <v>177</v>
      </c>
      <c r="J21" t="s">
        <v>268</v>
      </c>
      <c r="K21">
        <f>SACH!J11*5.1</f>
        <v>56.099999999999994</v>
      </c>
      <c r="L21" t="s">
        <v>137</v>
      </c>
      <c r="M21">
        <v>0</v>
      </c>
      <c r="N21">
        <v>56</v>
      </c>
      <c r="O21">
        <v>56</v>
      </c>
      <c r="P21">
        <v>3</v>
      </c>
      <c r="Q21">
        <v>0</v>
      </c>
      <c r="R21">
        <v>16</v>
      </c>
      <c r="S21">
        <v>15</v>
      </c>
      <c r="T21">
        <v>15</v>
      </c>
      <c r="U21">
        <v>0</v>
      </c>
      <c r="W21" t="s">
        <v>138</v>
      </c>
    </row>
    <row r="22" spans="1:23" x14ac:dyDescent="0.55000000000000004">
      <c r="A22" t="s">
        <v>256</v>
      </c>
      <c r="B22" t="s">
        <v>132</v>
      </c>
      <c r="C22" t="s">
        <v>259</v>
      </c>
      <c r="D22">
        <v>21</v>
      </c>
      <c r="E22" t="s">
        <v>178</v>
      </c>
      <c r="F22" t="s">
        <v>179</v>
      </c>
      <c r="G22">
        <v>35</v>
      </c>
      <c r="H22">
        <v>35</v>
      </c>
      <c r="I22" t="s">
        <v>180</v>
      </c>
      <c r="J22" t="s">
        <v>269</v>
      </c>
      <c r="K22">
        <f>(ASCAM!J14-8)*1*3</f>
        <v>81</v>
      </c>
      <c r="L22" t="s">
        <v>137</v>
      </c>
      <c r="M22">
        <v>0</v>
      </c>
      <c r="N22">
        <v>81</v>
      </c>
      <c r="O22">
        <v>81</v>
      </c>
      <c r="P22">
        <v>3</v>
      </c>
      <c r="Q22">
        <v>0</v>
      </c>
      <c r="R22">
        <v>29</v>
      </c>
      <c r="S22">
        <v>29</v>
      </c>
      <c r="T22">
        <v>29</v>
      </c>
      <c r="U22">
        <v>0</v>
      </c>
      <c r="W22" t="s">
        <v>141</v>
      </c>
    </row>
    <row r="23" spans="1:23" x14ac:dyDescent="0.55000000000000004">
      <c r="A23" t="s">
        <v>256</v>
      </c>
      <c r="B23" t="s">
        <v>132</v>
      </c>
      <c r="C23" t="s">
        <v>259</v>
      </c>
      <c r="D23">
        <v>22</v>
      </c>
      <c r="E23" t="s">
        <v>178</v>
      </c>
      <c r="F23" t="s">
        <v>181</v>
      </c>
      <c r="H23">
        <v>8</v>
      </c>
      <c r="I23" t="s">
        <v>182</v>
      </c>
      <c r="J23" t="s">
        <v>183</v>
      </c>
      <c r="K23">
        <f>8*1*3</f>
        <v>24</v>
      </c>
      <c r="L23" t="s">
        <v>137</v>
      </c>
      <c r="M23">
        <v>0</v>
      </c>
      <c r="N23">
        <v>24</v>
      </c>
      <c r="O23">
        <v>24</v>
      </c>
      <c r="P23">
        <v>3</v>
      </c>
      <c r="Q23">
        <v>0</v>
      </c>
      <c r="R23">
        <v>8</v>
      </c>
      <c r="S23">
        <v>8</v>
      </c>
      <c r="T23">
        <v>8</v>
      </c>
      <c r="U23">
        <v>0</v>
      </c>
      <c r="W23" t="s">
        <v>141</v>
      </c>
    </row>
    <row r="24" spans="1:23" x14ac:dyDescent="0.55000000000000004">
      <c r="A24" t="s">
        <v>256</v>
      </c>
      <c r="B24" t="s">
        <v>132</v>
      </c>
      <c r="C24" t="s">
        <v>259</v>
      </c>
      <c r="D24">
        <v>23</v>
      </c>
      <c r="E24" t="s">
        <v>178</v>
      </c>
      <c r="F24" t="s">
        <v>184</v>
      </c>
      <c r="G24">
        <v>12</v>
      </c>
      <c r="H24">
        <v>1</v>
      </c>
      <c r="I24" t="s">
        <v>159</v>
      </c>
      <c r="J24" t="s">
        <v>270</v>
      </c>
      <c r="K24">
        <f>ASLAM!J14*1*3</f>
        <v>36</v>
      </c>
      <c r="L24" t="s">
        <v>137</v>
      </c>
      <c r="M24">
        <v>0</v>
      </c>
      <c r="N24">
        <v>36</v>
      </c>
      <c r="O24">
        <v>36</v>
      </c>
      <c r="P24">
        <v>3</v>
      </c>
      <c r="Q24">
        <v>0</v>
      </c>
      <c r="R24">
        <v>6</v>
      </c>
      <c r="S24">
        <v>6</v>
      </c>
      <c r="T24">
        <v>6</v>
      </c>
      <c r="U24">
        <v>0</v>
      </c>
      <c r="W24" t="s">
        <v>141</v>
      </c>
    </row>
    <row r="25" spans="1:23" x14ac:dyDescent="0.55000000000000004">
      <c r="A25" t="s">
        <v>256</v>
      </c>
      <c r="B25" t="s">
        <v>132</v>
      </c>
      <c r="C25" t="s">
        <v>259</v>
      </c>
      <c r="D25">
        <v>24</v>
      </c>
      <c r="E25" t="s">
        <v>178</v>
      </c>
      <c r="F25" t="s">
        <v>185</v>
      </c>
      <c r="H25">
        <v>1.6</v>
      </c>
      <c r="I25" t="s">
        <v>186</v>
      </c>
      <c r="J25" t="s">
        <v>271</v>
      </c>
      <c r="K25">
        <f>ROUNDUP(ASLAM!J14*1.6,0)</f>
        <v>20</v>
      </c>
      <c r="L25" t="s">
        <v>137</v>
      </c>
      <c r="M25">
        <v>0</v>
      </c>
      <c r="N25">
        <v>20</v>
      </c>
      <c r="O25">
        <v>20</v>
      </c>
      <c r="P25">
        <v>3</v>
      </c>
      <c r="Q25">
        <v>0</v>
      </c>
      <c r="R25">
        <v>4</v>
      </c>
      <c r="S25">
        <v>3</v>
      </c>
      <c r="T25">
        <v>3</v>
      </c>
      <c r="U25">
        <v>0</v>
      </c>
      <c r="W25" t="s">
        <v>138</v>
      </c>
    </row>
    <row r="26" spans="1:23" x14ac:dyDescent="0.55000000000000004">
      <c r="A26" t="s">
        <v>256</v>
      </c>
      <c r="B26" t="s">
        <v>132</v>
      </c>
      <c r="C26" t="s">
        <v>259</v>
      </c>
      <c r="D26">
        <v>25</v>
      </c>
      <c r="E26" t="s">
        <v>178</v>
      </c>
      <c r="F26" t="s">
        <v>187</v>
      </c>
      <c r="H26">
        <v>0.4</v>
      </c>
      <c r="I26" t="s">
        <v>188</v>
      </c>
      <c r="J26" t="s">
        <v>272</v>
      </c>
      <c r="K26">
        <f>ROUND(('LH-A'!J18+'LM-M'!J19)*0.4,0)</f>
        <v>12</v>
      </c>
      <c r="L26" t="s">
        <v>137</v>
      </c>
      <c r="M26">
        <v>0</v>
      </c>
      <c r="N26">
        <v>12</v>
      </c>
      <c r="O26">
        <v>12</v>
      </c>
      <c r="P26">
        <v>3</v>
      </c>
      <c r="Q26">
        <v>0</v>
      </c>
      <c r="R26">
        <v>4</v>
      </c>
      <c r="S26">
        <v>4</v>
      </c>
      <c r="T26">
        <v>4</v>
      </c>
      <c r="U26">
        <v>0</v>
      </c>
      <c r="W26" t="s">
        <v>138</v>
      </c>
    </row>
    <row r="27" spans="1:23" x14ac:dyDescent="0.55000000000000004">
      <c r="A27" t="s">
        <v>256</v>
      </c>
      <c r="B27" t="s">
        <v>132</v>
      </c>
      <c r="C27" t="s">
        <v>259</v>
      </c>
      <c r="D27">
        <v>26</v>
      </c>
      <c r="E27" t="s">
        <v>178</v>
      </c>
      <c r="F27" t="s">
        <v>189</v>
      </c>
      <c r="G27">
        <v>35</v>
      </c>
      <c r="H27">
        <v>0.24</v>
      </c>
      <c r="I27" t="s">
        <v>190</v>
      </c>
      <c r="J27" t="s">
        <v>273</v>
      </c>
      <c r="K27">
        <f>ROUND((ASCAM!J14)*0.24,0)</f>
        <v>8</v>
      </c>
      <c r="L27" t="s">
        <v>137</v>
      </c>
      <c r="M27">
        <v>0</v>
      </c>
      <c r="N27">
        <v>8</v>
      </c>
      <c r="O27">
        <v>8</v>
      </c>
      <c r="P27">
        <v>3</v>
      </c>
      <c r="Q27">
        <v>0</v>
      </c>
      <c r="R27">
        <v>3</v>
      </c>
      <c r="S27">
        <v>3</v>
      </c>
      <c r="T27">
        <v>3</v>
      </c>
      <c r="U27">
        <v>0</v>
      </c>
      <c r="W27" t="s">
        <v>138</v>
      </c>
    </row>
    <row r="28" spans="1:23" x14ac:dyDescent="0.55000000000000004">
      <c r="A28" t="s">
        <v>256</v>
      </c>
      <c r="B28" t="s">
        <v>132</v>
      </c>
      <c r="C28" t="s">
        <v>259</v>
      </c>
      <c r="D28">
        <v>27</v>
      </c>
      <c r="E28" t="s">
        <v>178</v>
      </c>
      <c r="F28" t="s">
        <v>191</v>
      </c>
      <c r="H28">
        <v>3</v>
      </c>
      <c r="I28" t="s">
        <v>151</v>
      </c>
      <c r="J28" t="s">
        <v>147</v>
      </c>
      <c r="K28">
        <f>3*3</f>
        <v>9</v>
      </c>
      <c r="L28" t="s">
        <v>137</v>
      </c>
      <c r="M28">
        <v>0</v>
      </c>
      <c r="N28">
        <v>9</v>
      </c>
      <c r="O28">
        <v>9</v>
      </c>
      <c r="P28">
        <v>3</v>
      </c>
      <c r="Q28">
        <v>0</v>
      </c>
      <c r="R28">
        <v>3</v>
      </c>
      <c r="S28">
        <v>3</v>
      </c>
      <c r="T28">
        <v>3</v>
      </c>
      <c r="U28">
        <v>0</v>
      </c>
      <c r="W28" t="s">
        <v>141</v>
      </c>
    </row>
    <row r="29" spans="1:23" x14ac:dyDescent="0.55000000000000004">
      <c r="A29" t="s">
        <v>256</v>
      </c>
      <c r="B29" t="s">
        <v>132</v>
      </c>
      <c r="C29" t="s">
        <v>259</v>
      </c>
      <c r="D29">
        <v>28</v>
      </c>
      <c r="E29" t="s">
        <v>178</v>
      </c>
      <c r="F29" t="s">
        <v>192</v>
      </c>
      <c r="H29">
        <v>1</v>
      </c>
      <c r="I29" t="s">
        <v>193</v>
      </c>
      <c r="J29" t="s">
        <v>156</v>
      </c>
      <c r="K29">
        <f>1*3</f>
        <v>3</v>
      </c>
      <c r="L29" t="s">
        <v>137</v>
      </c>
      <c r="M29">
        <v>0</v>
      </c>
      <c r="N29">
        <v>3</v>
      </c>
      <c r="O29">
        <v>3</v>
      </c>
      <c r="P29">
        <v>3</v>
      </c>
      <c r="Q29">
        <v>0</v>
      </c>
      <c r="R29">
        <v>1</v>
      </c>
      <c r="S29">
        <v>1</v>
      </c>
      <c r="T29">
        <v>1</v>
      </c>
      <c r="U29">
        <v>0</v>
      </c>
      <c r="W29" t="s">
        <v>138</v>
      </c>
    </row>
    <row r="30" spans="1:23" x14ac:dyDescent="0.55000000000000004">
      <c r="A30" t="s">
        <v>256</v>
      </c>
      <c r="B30" t="s">
        <v>132</v>
      </c>
      <c r="C30" t="s">
        <v>259</v>
      </c>
      <c r="D30">
        <v>29</v>
      </c>
      <c r="E30" t="s">
        <v>194</v>
      </c>
      <c r="F30" t="s">
        <v>162</v>
      </c>
      <c r="H30">
        <v>3</v>
      </c>
      <c r="I30" t="s">
        <v>151</v>
      </c>
      <c r="J30" t="s">
        <v>147</v>
      </c>
      <c r="K30">
        <f>3*3</f>
        <v>9</v>
      </c>
      <c r="L30" t="s">
        <v>137</v>
      </c>
      <c r="M30">
        <v>0</v>
      </c>
      <c r="N30">
        <v>9</v>
      </c>
      <c r="O30">
        <v>9</v>
      </c>
      <c r="P30">
        <v>3</v>
      </c>
      <c r="Q30">
        <v>0</v>
      </c>
      <c r="R30">
        <v>3</v>
      </c>
      <c r="S30">
        <v>3</v>
      </c>
      <c r="T30">
        <v>3</v>
      </c>
      <c r="U30">
        <v>0</v>
      </c>
      <c r="W30" t="s">
        <v>141</v>
      </c>
    </row>
    <row r="31" spans="1:23" x14ac:dyDescent="0.55000000000000004">
      <c r="A31" t="s">
        <v>256</v>
      </c>
      <c r="B31" t="s">
        <v>132</v>
      </c>
      <c r="C31" t="s">
        <v>259</v>
      </c>
      <c r="D31">
        <v>30</v>
      </c>
      <c r="E31" t="s">
        <v>194</v>
      </c>
      <c r="F31" t="s">
        <v>192</v>
      </c>
      <c r="H31">
        <v>1</v>
      </c>
      <c r="I31" t="s">
        <v>193</v>
      </c>
      <c r="J31" t="s">
        <v>156</v>
      </c>
      <c r="K31">
        <f>1*3</f>
        <v>3</v>
      </c>
      <c r="L31" t="s">
        <v>137</v>
      </c>
      <c r="M31">
        <v>0</v>
      </c>
      <c r="N31">
        <v>3</v>
      </c>
      <c r="O31">
        <v>3</v>
      </c>
      <c r="P31">
        <v>3</v>
      </c>
      <c r="Q31">
        <v>0</v>
      </c>
      <c r="R31">
        <v>1</v>
      </c>
      <c r="S31">
        <v>1</v>
      </c>
      <c r="T31">
        <v>1</v>
      </c>
      <c r="U31">
        <v>0</v>
      </c>
      <c r="W31" t="s">
        <v>138</v>
      </c>
    </row>
    <row r="32" spans="1:23" x14ac:dyDescent="0.55000000000000004">
      <c r="A32" t="s">
        <v>256</v>
      </c>
      <c r="B32" t="s">
        <v>132</v>
      </c>
      <c r="C32" t="s">
        <v>259</v>
      </c>
      <c r="D32">
        <v>31</v>
      </c>
      <c r="E32" t="s">
        <v>194</v>
      </c>
      <c r="F32" t="s">
        <v>195</v>
      </c>
      <c r="G32">
        <v>9</v>
      </c>
      <c r="H32">
        <v>1</v>
      </c>
      <c r="I32" t="s">
        <v>196</v>
      </c>
      <c r="J32" t="s">
        <v>274</v>
      </c>
      <c r="K32">
        <f>'LM-M'!J19*3</f>
        <v>27</v>
      </c>
      <c r="L32" t="s">
        <v>137</v>
      </c>
      <c r="M32">
        <v>0</v>
      </c>
      <c r="N32">
        <v>27</v>
      </c>
      <c r="O32">
        <v>27</v>
      </c>
      <c r="P32">
        <v>3</v>
      </c>
      <c r="Q32">
        <v>0</v>
      </c>
      <c r="R32">
        <v>9</v>
      </c>
      <c r="S32">
        <v>9</v>
      </c>
      <c r="T32">
        <v>9</v>
      </c>
      <c r="U32">
        <v>0</v>
      </c>
      <c r="W32" t="s">
        <v>141</v>
      </c>
    </row>
    <row r="33" spans="1:23" x14ac:dyDescent="0.55000000000000004">
      <c r="A33" t="s">
        <v>256</v>
      </c>
      <c r="B33" t="s">
        <v>132</v>
      </c>
      <c r="C33" t="s">
        <v>259</v>
      </c>
      <c r="D33">
        <v>32</v>
      </c>
      <c r="E33" t="s">
        <v>194</v>
      </c>
      <c r="F33" t="s">
        <v>197</v>
      </c>
      <c r="H33">
        <v>8</v>
      </c>
      <c r="I33" t="s">
        <v>198</v>
      </c>
      <c r="J33" t="s">
        <v>199</v>
      </c>
      <c r="K33">
        <f>8*3</f>
        <v>24</v>
      </c>
      <c r="L33" t="s">
        <v>137</v>
      </c>
      <c r="M33">
        <v>0</v>
      </c>
      <c r="N33">
        <v>24</v>
      </c>
      <c r="O33">
        <v>24</v>
      </c>
      <c r="P33">
        <v>3</v>
      </c>
      <c r="Q33">
        <v>0</v>
      </c>
      <c r="R33">
        <v>8</v>
      </c>
      <c r="S33">
        <v>8</v>
      </c>
      <c r="T33">
        <v>8</v>
      </c>
      <c r="U33">
        <v>0</v>
      </c>
      <c r="W33" t="s">
        <v>141</v>
      </c>
    </row>
    <row r="34" spans="1:23" x14ac:dyDescent="0.55000000000000004">
      <c r="A34" t="s">
        <v>256</v>
      </c>
      <c r="B34" t="s">
        <v>132</v>
      </c>
      <c r="C34" t="s">
        <v>259</v>
      </c>
      <c r="D34">
        <v>33</v>
      </c>
      <c r="E34" t="s">
        <v>194</v>
      </c>
      <c r="F34" t="s">
        <v>200</v>
      </c>
      <c r="H34">
        <v>3</v>
      </c>
      <c r="I34" t="s">
        <v>201</v>
      </c>
      <c r="J34" t="s">
        <v>147</v>
      </c>
      <c r="K34">
        <f>3*3</f>
        <v>9</v>
      </c>
      <c r="L34" t="s">
        <v>137</v>
      </c>
      <c r="M34">
        <v>0</v>
      </c>
      <c r="N34">
        <v>9</v>
      </c>
      <c r="O34">
        <v>9</v>
      </c>
      <c r="P34">
        <v>3</v>
      </c>
      <c r="Q34">
        <v>0</v>
      </c>
      <c r="R34">
        <v>3</v>
      </c>
      <c r="S34">
        <v>3</v>
      </c>
      <c r="T34">
        <v>3</v>
      </c>
      <c r="U34">
        <v>0</v>
      </c>
      <c r="W34" t="s">
        <v>138</v>
      </c>
    </row>
    <row r="35" spans="1:23" x14ac:dyDescent="0.55000000000000004">
      <c r="A35" t="s">
        <v>256</v>
      </c>
      <c r="B35" t="s">
        <v>132</v>
      </c>
      <c r="C35" t="s">
        <v>259</v>
      </c>
      <c r="D35">
        <v>34</v>
      </c>
      <c r="E35" t="s">
        <v>194</v>
      </c>
      <c r="F35" t="s">
        <v>202</v>
      </c>
      <c r="G35">
        <v>5</v>
      </c>
      <c r="H35">
        <v>1</v>
      </c>
      <c r="I35" t="s">
        <v>203</v>
      </c>
      <c r="J35" t="s">
        <v>275</v>
      </c>
      <c r="K35">
        <f>MSLAM!J14*1*3</f>
        <v>15</v>
      </c>
      <c r="L35" t="s">
        <v>137</v>
      </c>
      <c r="M35">
        <v>0</v>
      </c>
      <c r="N35">
        <v>15</v>
      </c>
      <c r="O35">
        <v>15</v>
      </c>
      <c r="P35">
        <v>3</v>
      </c>
      <c r="Q35">
        <v>0</v>
      </c>
      <c r="R35">
        <v>2</v>
      </c>
      <c r="S35">
        <v>2</v>
      </c>
      <c r="T35">
        <v>2</v>
      </c>
      <c r="U35">
        <v>0</v>
      </c>
      <c r="W35" t="s">
        <v>141</v>
      </c>
    </row>
    <row r="36" spans="1:23" x14ac:dyDescent="0.55000000000000004">
      <c r="A36" t="s">
        <v>256</v>
      </c>
      <c r="B36" t="s">
        <v>132</v>
      </c>
      <c r="C36" t="s">
        <v>259</v>
      </c>
      <c r="D36">
        <v>35</v>
      </c>
      <c r="E36" t="s">
        <v>194</v>
      </c>
      <c r="F36" t="s">
        <v>204</v>
      </c>
      <c r="G36">
        <v>5</v>
      </c>
      <c r="H36">
        <v>4.3099999999999996</v>
      </c>
      <c r="I36" t="s">
        <v>205</v>
      </c>
      <c r="J36" t="s">
        <v>276</v>
      </c>
      <c r="K36">
        <f>ROUND(MSLAM!J14*4.31,0)</f>
        <v>22</v>
      </c>
      <c r="L36" t="s">
        <v>137</v>
      </c>
      <c r="M36">
        <v>0</v>
      </c>
      <c r="N36">
        <v>22</v>
      </c>
      <c r="O36">
        <v>22</v>
      </c>
      <c r="P36">
        <v>3</v>
      </c>
      <c r="Q36">
        <v>0</v>
      </c>
      <c r="R36">
        <v>3</v>
      </c>
      <c r="S36">
        <v>3</v>
      </c>
      <c r="T36">
        <v>3</v>
      </c>
      <c r="U36">
        <v>0</v>
      </c>
      <c r="W36" t="s">
        <v>138</v>
      </c>
    </row>
    <row r="37" spans="1:23" x14ac:dyDescent="0.55000000000000004">
      <c r="A37" t="s">
        <v>256</v>
      </c>
      <c r="B37" t="s">
        <v>132</v>
      </c>
      <c r="C37" t="s">
        <v>259</v>
      </c>
      <c r="D37">
        <v>36</v>
      </c>
      <c r="E37" t="s">
        <v>194</v>
      </c>
      <c r="F37" t="s">
        <v>206</v>
      </c>
      <c r="G37">
        <v>33</v>
      </c>
      <c r="H37">
        <v>1</v>
      </c>
      <c r="I37" t="s">
        <v>203</v>
      </c>
      <c r="J37" t="s">
        <v>277</v>
      </c>
      <c r="K37">
        <f>MMNO!J16*1*3</f>
        <v>99</v>
      </c>
      <c r="L37" t="s">
        <v>137</v>
      </c>
      <c r="M37">
        <v>0</v>
      </c>
      <c r="N37">
        <v>99</v>
      </c>
      <c r="O37">
        <v>99</v>
      </c>
      <c r="P37">
        <v>3</v>
      </c>
      <c r="Q37">
        <v>0</v>
      </c>
      <c r="R37">
        <v>33</v>
      </c>
      <c r="S37">
        <v>33</v>
      </c>
      <c r="T37">
        <v>33</v>
      </c>
      <c r="U37">
        <v>0</v>
      </c>
      <c r="W37" t="s">
        <v>141</v>
      </c>
    </row>
    <row r="38" spans="1:23" x14ac:dyDescent="0.55000000000000004">
      <c r="A38" t="s">
        <v>256</v>
      </c>
      <c r="B38" t="s">
        <v>132</v>
      </c>
      <c r="C38" t="s">
        <v>259</v>
      </c>
      <c r="D38">
        <v>37</v>
      </c>
      <c r="E38" t="s">
        <v>194</v>
      </c>
      <c r="F38" t="s">
        <v>207</v>
      </c>
      <c r="H38">
        <v>0.36</v>
      </c>
      <c r="I38" t="s">
        <v>208</v>
      </c>
      <c r="J38" t="s">
        <v>278</v>
      </c>
      <c r="K38">
        <f>ROUND(MMNO!J16*0.36,0)</f>
        <v>12</v>
      </c>
      <c r="L38" t="s">
        <v>137</v>
      </c>
      <c r="M38">
        <v>0</v>
      </c>
      <c r="N38">
        <v>12</v>
      </c>
      <c r="O38">
        <v>12</v>
      </c>
      <c r="P38">
        <v>3</v>
      </c>
      <c r="Q38">
        <v>0</v>
      </c>
      <c r="R38">
        <v>4</v>
      </c>
      <c r="S38">
        <v>4</v>
      </c>
      <c r="T38">
        <v>4</v>
      </c>
      <c r="U38">
        <v>0</v>
      </c>
      <c r="W38" t="s">
        <v>138</v>
      </c>
    </row>
    <row r="39" spans="1:23" x14ac:dyDescent="0.55000000000000004">
      <c r="A39" t="s">
        <v>256</v>
      </c>
      <c r="B39" t="s">
        <v>132</v>
      </c>
      <c r="C39" t="s">
        <v>259</v>
      </c>
      <c r="D39">
        <v>38</v>
      </c>
      <c r="E39" t="s">
        <v>194</v>
      </c>
      <c r="F39" t="s">
        <v>154</v>
      </c>
      <c r="H39">
        <v>1</v>
      </c>
      <c r="I39" t="s">
        <v>155</v>
      </c>
      <c r="J39" t="s">
        <v>156</v>
      </c>
      <c r="K39">
        <f>1*3</f>
        <v>3</v>
      </c>
      <c r="L39" t="s">
        <v>137</v>
      </c>
      <c r="M39">
        <v>0</v>
      </c>
      <c r="N39">
        <v>3</v>
      </c>
      <c r="O39">
        <v>3</v>
      </c>
      <c r="P39">
        <v>3</v>
      </c>
      <c r="Q39">
        <v>0</v>
      </c>
      <c r="R39">
        <v>1</v>
      </c>
      <c r="S39">
        <v>1</v>
      </c>
      <c r="T39">
        <v>1</v>
      </c>
      <c r="U39">
        <v>0</v>
      </c>
      <c r="W39" t="s">
        <v>141</v>
      </c>
    </row>
    <row r="40" spans="1:23" x14ac:dyDescent="0.55000000000000004">
      <c r="A40" t="s">
        <v>256</v>
      </c>
      <c r="B40" t="s">
        <v>132</v>
      </c>
      <c r="C40" t="s">
        <v>259</v>
      </c>
      <c r="D40">
        <v>39</v>
      </c>
      <c r="E40" t="s">
        <v>194</v>
      </c>
      <c r="F40" t="s">
        <v>209</v>
      </c>
      <c r="H40">
        <v>0.67</v>
      </c>
      <c r="I40" t="s">
        <v>210</v>
      </c>
      <c r="J40" t="s">
        <v>279</v>
      </c>
      <c r="K40">
        <f>ROUND(MMNO!J16*0.67,0)</f>
        <v>22</v>
      </c>
      <c r="L40" t="s">
        <v>137</v>
      </c>
      <c r="M40">
        <v>0</v>
      </c>
      <c r="N40">
        <v>22</v>
      </c>
      <c r="O40">
        <v>22</v>
      </c>
      <c r="P40">
        <v>3</v>
      </c>
      <c r="Q40">
        <v>0</v>
      </c>
      <c r="R40">
        <v>8</v>
      </c>
      <c r="S40">
        <v>8</v>
      </c>
      <c r="T40">
        <v>7</v>
      </c>
      <c r="U40">
        <v>0</v>
      </c>
      <c r="W40" t="s">
        <v>138</v>
      </c>
    </row>
    <row r="41" spans="1:23" x14ac:dyDescent="0.55000000000000004">
      <c r="A41" t="s">
        <v>256</v>
      </c>
      <c r="B41" t="s">
        <v>132</v>
      </c>
      <c r="C41" t="s">
        <v>259</v>
      </c>
      <c r="D41">
        <v>40</v>
      </c>
      <c r="E41" t="s">
        <v>194</v>
      </c>
      <c r="F41" t="s">
        <v>211</v>
      </c>
      <c r="G41">
        <v>34</v>
      </c>
      <c r="H41">
        <v>1</v>
      </c>
      <c r="I41" t="s">
        <v>203</v>
      </c>
      <c r="J41" t="s">
        <v>280</v>
      </c>
      <c r="K41">
        <f>MMCO!J15*1*3</f>
        <v>102</v>
      </c>
      <c r="L41" t="s">
        <v>137</v>
      </c>
      <c r="M41">
        <v>0</v>
      </c>
      <c r="N41">
        <v>102</v>
      </c>
      <c r="O41">
        <v>102</v>
      </c>
      <c r="P41">
        <v>3</v>
      </c>
      <c r="Q41">
        <v>0</v>
      </c>
      <c r="R41">
        <v>34</v>
      </c>
      <c r="S41">
        <v>34</v>
      </c>
      <c r="T41">
        <v>34</v>
      </c>
      <c r="U41">
        <v>0</v>
      </c>
      <c r="W41" t="s">
        <v>141</v>
      </c>
    </row>
    <row r="42" spans="1:23" x14ac:dyDescent="0.55000000000000004">
      <c r="A42" t="s">
        <v>256</v>
      </c>
      <c r="B42" t="s">
        <v>132</v>
      </c>
      <c r="C42" t="s">
        <v>259</v>
      </c>
      <c r="D42">
        <v>41</v>
      </c>
      <c r="E42" t="s">
        <v>194</v>
      </c>
      <c r="F42" t="s">
        <v>212</v>
      </c>
      <c r="H42">
        <v>2.1</v>
      </c>
      <c r="I42" t="s">
        <v>213</v>
      </c>
      <c r="J42" t="s">
        <v>281</v>
      </c>
      <c r="K42">
        <f>ROUND(MMCO!J15*2.1,0)</f>
        <v>71</v>
      </c>
      <c r="L42" t="s">
        <v>137</v>
      </c>
      <c r="M42">
        <v>0</v>
      </c>
      <c r="N42">
        <v>71</v>
      </c>
      <c r="O42">
        <v>71</v>
      </c>
      <c r="P42">
        <v>3</v>
      </c>
      <c r="Q42">
        <v>0</v>
      </c>
      <c r="R42">
        <v>24</v>
      </c>
      <c r="S42">
        <v>24</v>
      </c>
      <c r="T42">
        <v>23</v>
      </c>
      <c r="U42">
        <v>0</v>
      </c>
      <c r="W42" t="s">
        <v>138</v>
      </c>
    </row>
    <row r="43" spans="1:23" x14ac:dyDescent="0.55000000000000004">
      <c r="A43" t="s">
        <v>256</v>
      </c>
      <c r="B43" t="s">
        <v>132</v>
      </c>
      <c r="C43" t="s">
        <v>259</v>
      </c>
      <c r="D43">
        <v>42</v>
      </c>
      <c r="E43" t="s">
        <v>214</v>
      </c>
      <c r="F43" t="s">
        <v>215</v>
      </c>
      <c r="H43">
        <v>8</v>
      </c>
      <c r="I43" t="s">
        <v>216</v>
      </c>
      <c r="J43" t="s">
        <v>199</v>
      </c>
      <c r="K43">
        <f>8*3</f>
        <v>24</v>
      </c>
      <c r="L43" t="s">
        <v>137</v>
      </c>
      <c r="M43">
        <v>0</v>
      </c>
      <c r="N43">
        <v>24</v>
      </c>
      <c r="O43">
        <v>24</v>
      </c>
      <c r="P43">
        <v>3</v>
      </c>
      <c r="Q43">
        <v>0</v>
      </c>
      <c r="R43">
        <v>8</v>
      </c>
      <c r="S43">
        <v>8</v>
      </c>
      <c r="T43">
        <v>8</v>
      </c>
      <c r="U43">
        <v>0</v>
      </c>
      <c r="W43" t="s">
        <v>141</v>
      </c>
    </row>
    <row r="44" spans="1:23" x14ac:dyDescent="0.55000000000000004">
      <c r="A44" t="s">
        <v>256</v>
      </c>
      <c r="B44" t="s">
        <v>132</v>
      </c>
      <c r="C44" t="s">
        <v>259</v>
      </c>
      <c r="D44">
        <v>43</v>
      </c>
      <c r="E44" t="s">
        <v>214</v>
      </c>
      <c r="F44" t="s">
        <v>217</v>
      </c>
      <c r="H44">
        <v>3</v>
      </c>
      <c r="I44" t="s">
        <v>218</v>
      </c>
      <c r="J44" t="s">
        <v>147</v>
      </c>
      <c r="K44">
        <f>3*3</f>
        <v>9</v>
      </c>
      <c r="L44" t="s">
        <v>137</v>
      </c>
      <c r="M44">
        <v>0</v>
      </c>
      <c r="N44">
        <v>9</v>
      </c>
      <c r="O44">
        <v>9</v>
      </c>
      <c r="P44">
        <v>3</v>
      </c>
      <c r="Q44">
        <v>0</v>
      </c>
      <c r="R44">
        <v>3</v>
      </c>
      <c r="S44">
        <v>3</v>
      </c>
      <c r="T44">
        <v>3</v>
      </c>
      <c r="U44">
        <v>0</v>
      </c>
      <c r="W44" t="s">
        <v>141</v>
      </c>
    </row>
    <row r="45" spans="1:23" x14ac:dyDescent="0.55000000000000004">
      <c r="A45" t="s">
        <v>256</v>
      </c>
      <c r="B45" t="s">
        <v>132</v>
      </c>
      <c r="C45" t="s">
        <v>259</v>
      </c>
      <c r="D45">
        <v>44</v>
      </c>
      <c r="E45" t="s">
        <v>214</v>
      </c>
      <c r="F45" t="s">
        <v>219</v>
      </c>
      <c r="H45">
        <v>4</v>
      </c>
      <c r="I45" t="s">
        <v>220</v>
      </c>
      <c r="J45" t="s">
        <v>136</v>
      </c>
      <c r="K45">
        <f>4*3</f>
        <v>12</v>
      </c>
      <c r="L45" t="s">
        <v>137</v>
      </c>
      <c r="M45">
        <v>0</v>
      </c>
      <c r="N45">
        <v>12</v>
      </c>
      <c r="O45">
        <v>12</v>
      </c>
      <c r="P45">
        <v>3</v>
      </c>
      <c r="Q45">
        <v>0</v>
      </c>
      <c r="R45">
        <v>4</v>
      </c>
      <c r="S45">
        <v>4</v>
      </c>
      <c r="T45">
        <v>4</v>
      </c>
      <c r="U45">
        <v>0</v>
      </c>
      <c r="W45" t="s">
        <v>141</v>
      </c>
    </row>
    <row r="46" spans="1:23" x14ac:dyDescent="0.55000000000000004">
      <c r="A46" t="s">
        <v>256</v>
      </c>
      <c r="B46" t="s">
        <v>132</v>
      </c>
      <c r="C46" t="s">
        <v>259</v>
      </c>
      <c r="D46">
        <v>45</v>
      </c>
      <c r="E46" t="s">
        <v>214</v>
      </c>
      <c r="F46" t="s">
        <v>221</v>
      </c>
      <c r="H46">
        <v>5</v>
      </c>
      <c r="I46" t="s">
        <v>222</v>
      </c>
      <c r="J46" t="s">
        <v>222</v>
      </c>
      <c r="K46">
        <f>2+2+1</f>
        <v>5</v>
      </c>
      <c r="L46" t="s">
        <v>137</v>
      </c>
      <c r="M46">
        <v>0</v>
      </c>
      <c r="N46">
        <v>5</v>
      </c>
      <c r="O46">
        <v>5</v>
      </c>
      <c r="P46">
        <v>3</v>
      </c>
      <c r="Q46">
        <v>0</v>
      </c>
      <c r="R46">
        <v>2</v>
      </c>
      <c r="S46">
        <v>2</v>
      </c>
      <c r="T46">
        <v>1</v>
      </c>
      <c r="U46">
        <v>0</v>
      </c>
      <c r="W46" t="s">
        <v>141</v>
      </c>
    </row>
    <row r="47" spans="1:23" x14ac:dyDescent="0.55000000000000004">
      <c r="A47" t="s">
        <v>256</v>
      </c>
      <c r="B47" t="s">
        <v>132</v>
      </c>
      <c r="C47" t="s">
        <v>259</v>
      </c>
      <c r="D47">
        <v>46</v>
      </c>
      <c r="E47" t="s">
        <v>214</v>
      </c>
      <c r="F47" t="s">
        <v>223</v>
      </c>
      <c r="H47">
        <v>1</v>
      </c>
      <c r="I47" t="s">
        <v>224</v>
      </c>
      <c r="J47" t="s">
        <v>225</v>
      </c>
      <c r="K47">
        <f>1*1</f>
        <v>1</v>
      </c>
      <c r="L47" t="s">
        <v>137</v>
      </c>
      <c r="M47">
        <v>0</v>
      </c>
      <c r="N47">
        <v>1</v>
      </c>
      <c r="O47">
        <v>1</v>
      </c>
      <c r="P47">
        <v>3</v>
      </c>
      <c r="Q47">
        <v>0</v>
      </c>
      <c r="R47">
        <v>1</v>
      </c>
      <c r="S47">
        <v>0</v>
      </c>
      <c r="T47">
        <v>0</v>
      </c>
      <c r="U47">
        <v>0</v>
      </c>
      <c r="W47" t="s">
        <v>138</v>
      </c>
    </row>
    <row r="48" spans="1:23" x14ac:dyDescent="0.55000000000000004">
      <c r="A48" t="s">
        <v>256</v>
      </c>
      <c r="B48" t="s">
        <v>132</v>
      </c>
      <c r="C48" t="s">
        <v>259</v>
      </c>
      <c r="D48">
        <v>47</v>
      </c>
      <c r="E48" t="s">
        <v>214</v>
      </c>
      <c r="F48" t="s">
        <v>226</v>
      </c>
      <c r="H48">
        <v>3</v>
      </c>
      <c r="I48" t="s">
        <v>146</v>
      </c>
      <c r="J48" t="s">
        <v>147</v>
      </c>
      <c r="K48">
        <f>3*3</f>
        <v>9</v>
      </c>
      <c r="L48" t="s">
        <v>137</v>
      </c>
      <c r="M48">
        <v>0</v>
      </c>
      <c r="N48">
        <v>9</v>
      </c>
      <c r="O48">
        <v>9</v>
      </c>
      <c r="P48">
        <v>3</v>
      </c>
      <c r="Q48">
        <v>0</v>
      </c>
      <c r="R48">
        <v>3</v>
      </c>
      <c r="S48">
        <v>3</v>
      </c>
      <c r="T48">
        <v>3</v>
      </c>
      <c r="U48">
        <v>0</v>
      </c>
      <c r="W48" t="s">
        <v>138</v>
      </c>
    </row>
    <row r="49" spans="1:23" x14ac:dyDescent="0.55000000000000004">
      <c r="A49" t="s">
        <v>256</v>
      </c>
      <c r="B49" t="s">
        <v>132</v>
      </c>
      <c r="C49" t="s">
        <v>259</v>
      </c>
      <c r="D49">
        <v>48</v>
      </c>
      <c r="E49" t="s">
        <v>227</v>
      </c>
      <c r="F49" t="s">
        <v>228</v>
      </c>
      <c r="H49">
        <v>4</v>
      </c>
      <c r="I49" t="s">
        <v>135</v>
      </c>
      <c r="J49" t="s">
        <v>136</v>
      </c>
      <c r="K49">
        <f>4*3</f>
        <v>12</v>
      </c>
      <c r="L49" t="s">
        <v>137</v>
      </c>
      <c r="M49">
        <v>0</v>
      </c>
      <c r="N49">
        <v>12</v>
      </c>
      <c r="O49">
        <v>12</v>
      </c>
      <c r="P49">
        <v>3</v>
      </c>
      <c r="Q49">
        <v>0</v>
      </c>
      <c r="R49">
        <v>4</v>
      </c>
      <c r="S49">
        <v>4</v>
      </c>
      <c r="T49">
        <v>4</v>
      </c>
      <c r="U49">
        <v>0</v>
      </c>
      <c r="W49" t="s">
        <v>141</v>
      </c>
    </row>
    <row r="50" spans="1:23" x14ac:dyDescent="0.55000000000000004">
      <c r="A50" t="s">
        <v>256</v>
      </c>
      <c r="B50" t="s">
        <v>132</v>
      </c>
      <c r="C50" t="s">
        <v>259</v>
      </c>
      <c r="D50">
        <v>49</v>
      </c>
      <c r="E50" t="s">
        <v>227</v>
      </c>
      <c r="F50" t="s">
        <v>229</v>
      </c>
      <c r="H50">
        <v>10</v>
      </c>
      <c r="I50" t="s">
        <v>230</v>
      </c>
      <c r="J50" t="s">
        <v>231</v>
      </c>
      <c r="K50">
        <f>10*1*3</f>
        <v>30</v>
      </c>
      <c r="L50" t="s">
        <v>137</v>
      </c>
      <c r="M50">
        <v>0</v>
      </c>
      <c r="N50">
        <v>30</v>
      </c>
      <c r="O50">
        <v>30</v>
      </c>
      <c r="P50">
        <v>3</v>
      </c>
      <c r="Q50">
        <v>0</v>
      </c>
      <c r="R50">
        <v>10</v>
      </c>
      <c r="S50">
        <v>10</v>
      </c>
      <c r="T50">
        <v>10</v>
      </c>
      <c r="U50">
        <v>0</v>
      </c>
      <c r="W50" t="s">
        <v>141</v>
      </c>
    </row>
    <row r="51" spans="1:23" x14ac:dyDescent="0.55000000000000004">
      <c r="A51" t="s">
        <v>256</v>
      </c>
      <c r="B51" t="s">
        <v>132</v>
      </c>
      <c r="C51" t="s">
        <v>259</v>
      </c>
      <c r="D51">
        <v>50</v>
      </c>
      <c r="E51" t="s">
        <v>227</v>
      </c>
      <c r="F51" t="s">
        <v>232</v>
      </c>
      <c r="H51">
        <v>6</v>
      </c>
      <c r="I51" t="s">
        <v>233</v>
      </c>
      <c r="J51" t="s">
        <v>234</v>
      </c>
      <c r="K51">
        <f>6*3</f>
        <v>18</v>
      </c>
      <c r="L51" t="s">
        <v>137</v>
      </c>
      <c r="M51">
        <v>0</v>
      </c>
      <c r="N51">
        <v>18</v>
      </c>
      <c r="O51">
        <v>18</v>
      </c>
      <c r="P51">
        <v>3</v>
      </c>
      <c r="Q51">
        <v>0</v>
      </c>
      <c r="R51">
        <v>6</v>
      </c>
      <c r="S51">
        <v>6</v>
      </c>
      <c r="T51">
        <v>6</v>
      </c>
      <c r="U51">
        <v>0</v>
      </c>
      <c r="W51" t="s">
        <v>138</v>
      </c>
    </row>
    <row r="52" spans="1:23" x14ac:dyDescent="0.55000000000000004">
      <c r="A52" t="s">
        <v>256</v>
      </c>
      <c r="B52" t="s">
        <v>132</v>
      </c>
      <c r="C52" t="s">
        <v>259</v>
      </c>
      <c r="D52">
        <v>51</v>
      </c>
      <c r="E52" t="s">
        <v>227</v>
      </c>
      <c r="F52" t="s">
        <v>235</v>
      </c>
      <c r="H52">
        <v>0.46</v>
      </c>
      <c r="I52" t="s">
        <v>284</v>
      </c>
      <c r="J52" t="s">
        <v>282</v>
      </c>
      <c r="K52">
        <f>(('WLL Overall'!E11/1000/0.46)-51+36)+(17*3)</f>
        <v>362.70452397824351</v>
      </c>
      <c r="L52" t="s">
        <v>137</v>
      </c>
      <c r="M52">
        <v>0</v>
      </c>
      <c r="N52">
        <v>362.7</v>
      </c>
      <c r="O52">
        <v>362.7</v>
      </c>
      <c r="P52">
        <v>3</v>
      </c>
      <c r="Q52">
        <v>0</v>
      </c>
      <c r="R52">
        <v>121</v>
      </c>
      <c r="S52">
        <v>121</v>
      </c>
      <c r="T52">
        <v>121</v>
      </c>
      <c r="U52">
        <v>0</v>
      </c>
      <c r="W52" t="s">
        <v>138</v>
      </c>
    </row>
    <row r="53" spans="1:23" x14ac:dyDescent="0.55000000000000004">
      <c r="A53" t="s">
        <v>256</v>
      </c>
      <c r="B53" t="s">
        <v>132</v>
      </c>
      <c r="C53" t="s">
        <v>259</v>
      </c>
      <c r="D53">
        <v>52</v>
      </c>
      <c r="E53" t="s">
        <v>227</v>
      </c>
      <c r="F53" t="s">
        <v>236</v>
      </c>
      <c r="H53">
        <v>0.93</v>
      </c>
      <c r="I53" t="s">
        <v>237</v>
      </c>
      <c r="J53" t="s">
        <v>283</v>
      </c>
      <c r="K53">
        <f>'WLL Overall'!E11/1000/0.93</f>
        <v>161.59578605375486</v>
      </c>
      <c r="L53" t="s">
        <v>137</v>
      </c>
      <c r="M53">
        <v>0</v>
      </c>
      <c r="N53">
        <v>161.6</v>
      </c>
      <c r="O53">
        <v>161.6</v>
      </c>
      <c r="P53">
        <v>3</v>
      </c>
      <c r="Q53">
        <v>0</v>
      </c>
      <c r="R53">
        <v>54</v>
      </c>
      <c r="S53">
        <v>54</v>
      </c>
      <c r="T53">
        <v>54</v>
      </c>
      <c r="U53">
        <v>0</v>
      </c>
      <c r="W53" t="s">
        <v>138</v>
      </c>
    </row>
    <row r="54" spans="1:23" x14ac:dyDescent="0.55000000000000004">
      <c r="A54" t="s">
        <v>256</v>
      </c>
      <c r="B54" t="s">
        <v>132</v>
      </c>
      <c r="C54" t="s">
        <v>259</v>
      </c>
      <c r="D54">
        <v>53</v>
      </c>
      <c r="E54" t="s">
        <v>227</v>
      </c>
      <c r="F54" t="s">
        <v>238</v>
      </c>
      <c r="H54">
        <v>1</v>
      </c>
      <c r="I54" t="s">
        <v>193</v>
      </c>
      <c r="J54" t="s">
        <v>156</v>
      </c>
      <c r="K54">
        <f>1*3</f>
        <v>3</v>
      </c>
      <c r="L54" t="s">
        <v>137</v>
      </c>
      <c r="M54">
        <v>0</v>
      </c>
      <c r="N54">
        <v>3</v>
      </c>
      <c r="O54">
        <v>3</v>
      </c>
      <c r="P54">
        <v>3</v>
      </c>
      <c r="Q54">
        <v>0</v>
      </c>
      <c r="R54">
        <v>1</v>
      </c>
      <c r="S54">
        <v>1</v>
      </c>
      <c r="T54">
        <v>1</v>
      </c>
      <c r="U54">
        <v>0</v>
      </c>
      <c r="W54" t="s">
        <v>138</v>
      </c>
    </row>
    <row r="55" spans="1:23" x14ac:dyDescent="0.55000000000000004">
      <c r="A55" t="s">
        <v>256</v>
      </c>
      <c r="B55" t="s">
        <v>132</v>
      </c>
      <c r="C55" t="s">
        <v>259</v>
      </c>
      <c r="D55">
        <v>54</v>
      </c>
      <c r="E55" t="s">
        <v>227</v>
      </c>
      <c r="F55" t="s">
        <v>239</v>
      </c>
      <c r="H55">
        <v>6</v>
      </c>
      <c r="I55" t="s">
        <v>233</v>
      </c>
      <c r="J55" t="s">
        <v>234</v>
      </c>
      <c r="K55">
        <f>6*3</f>
        <v>18</v>
      </c>
      <c r="L55" t="s">
        <v>137</v>
      </c>
      <c r="M55">
        <v>0</v>
      </c>
      <c r="N55">
        <v>18</v>
      </c>
      <c r="O55">
        <v>18</v>
      </c>
      <c r="P55">
        <v>3</v>
      </c>
      <c r="Q55">
        <v>0</v>
      </c>
      <c r="R55">
        <v>6</v>
      </c>
      <c r="S55">
        <v>6</v>
      </c>
      <c r="T55">
        <v>6</v>
      </c>
      <c r="U55">
        <v>0</v>
      </c>
      <c r="W55" t="s">
        <v>138</v>
      </c>
    </row>
    <row r="56" spans="1:23" x14ac:dyDescent="0.55000000000000004">
      <c r="A56" t="s">
        <v>256</v>
      </c>
      <c r="B56" t="s">
        <v>132</v>
      </c>
      <c r="C56" t="s">
        <v>259</v>
      </c>
      <c r="D56">
        <v>55</v>
      </c>
      <c r="E56" t="s">
        <v>227</v>
      </c>
      <c r="F56" t="s">
        <v>240</v>
      </c>
      <c r="H56">
        <v>5</v>
      </c>
      <c r="I56" t="s">
        <v>241</v>
      </c>
      <c r="J56" t="s">
        <v>242</v>
      </c>
      <c r="K56">
        <f>5*3</f>
        <v>15</v>
      </c>
      <c r="L56" t="s">
        <v>137</v>
      </c>
      <c r="M56">
        <v>0</v>
      </c>
      <c r="N56">
        <v>15</v>
      </c>
      <c r="O56">
        <v>15</v>
      </c>
      <c r="P56">
        <v>3</v>
      </c>
      <c r="Q56">
        <v>0</v>
      </c>
      <c r="R56">
        <v>5</v>
      </c>
      <c r="S56">
        <v>5</v>
      </c>
      <c r="T56">
        <v>5</v>
      </c>
      <c r="U56">
        <v>0</v>
      </c>
      <c r="W56" t="s">
        <v>141</v>
      </c>
    </row>
    <row r="57" spans="1:23" x14ac:dyDescent="0.55000000000000004">
      <c r="A57" t="s">
        <v>256</v>
      </c>
      <c r="B57" t="s">
        <v>132</v>
      </c>
      <c r="C57" t="s">
        <v>259</v>
      </c>
      <c r="D57">
        <v>56</v>
      </c>
      <c r="E57" t="s">
        <v>227</v>
      </c>
      <c r="F57" t="s">
        <v>243</v>
      </c>
      <c r="H57">
        <v>1</v>
      </c>
      <c r="I57" t="s">
        <v>244</v>
      </c>
      <c r="J57" t="s">
        <v>156</v>
      </c>
      <c r="K57">
        <f>1*3</f>
        <v>3</v>
      </c>
      <c r="L57" t="s">
        <v>137</v>
      </c>
      <c r="M57">
        <v>0</v>
      </c>
      <c r="N57">
        <v>3</v>
      </c>
      <c r="O57">
        <v>3</v>
      </c>
      <c r="P57">
        <v>3</v>
      </c>
      <c r="Q57">
        <v>0</v>
      </c>
      <c r="R57">
        <v>1</v>
      </c>
      <c r="S57">
        <v>1</v>
      </c>
      <c r="T57">
        <v>1</v>
      </c>
      <c r="U57">
        <v>0</v>
      </c>
      <c r="W57" t="s">
        <v>141</v>
      </c>
    </row>
    <row r="58" spans="1:23" x14ac:dyDescent="0.55000000000000004">
      <c r="A58" t="s">
        <v>256</v>
      </c>
      <c r="B58" t="s">
        <v>132</v>
      </c>
      <c r="C58" t="s">
        <v>259</v>
      </c>
      <c r="D58">
        <v>57</v>
      </c>
      <c r="E58" t="s">
        <v>227</v>
      </c>
      <c r="F58" t="s">
        <v>245</v>
      </c>
      <c r="H58">
        <v>8</v>
      </c>
      <c r="I58" t="s">
        <v>246</v>
      </c>
      <c r="J58" t="s">
        <v>199</v>
      </c>
      <c r="K58">
        <f>8*3</f>
        <v>24</v>
      </c>
      <c r="L58" t="s">
        <v>137</v>
      </c>
      <c r="M58">
        <v>0</v>
      </c>
      <c r="N58">
        <v>24</v>
      </c>
      <c r="O58">
        <v>24</v>
      </c>
      <c r="P58">
        <v>3</v>
      </c>
      <c r="Q58">
        <v>0</v>
      </c>
      <c r="R58">
        <v>8</v>
      </c>
      <c r="S58">
        <v>8</v>
      </c>
      <c r="T58">
        <v>8</v>
      </c>
      <c r="U58">
        <v>0</v>
      </c>
      <c r="W58" t="s">
        <v>141</v>
      </c>
    </row>
    <row r="59" spans="1:23" x14ac:dyDescent="0.55000000000000004">
      <c r="A59" t="s">
        <v>256</v>
      </c>
      <c r="B59" t="s">
        <v>132</v>
      </c>
      <c r="C59" t="s">
        <v>259</v>
      </c>
      <c r="D59">
        <v>58</v>
      </c>
      <c r="E59" t="s">
        <v>227</v>
      </c>
      <c r="F59" t="s">
        <v>247</v>
      </c>
      <c r="H59">
        <v>5</v>
      </c>
      <c r="I59" t="s">
        <v>248</v>
      </c>
      <c r="J59" t="s">
        <v>242</v>
      </c>
      <c r="K59">
        <f>5*3</f>
        <v>15</v>
      </c>
      <c r="L59" t="s">
        <v>137</v>
      </c>
      <c r="M59">
        <v>0</v>
      </c>
      <c r="N59">
        <v>15</v>
      </c>
      <c r="O59">
        <v>15</v>
      </c>
      <c r="P59">
        <v>3</v>
      </c>
      <c r="Q59">
        <v>0</v>
      </c>
      <c r="R59">
        <v>5</v>
      </c>
      <c r="S59">
        <v>5</v>
      </c>
      <c r="T59">
        <v>5</v>
      </c>
      <c r="U59">
        <v>0</v>
      </c>
      <c r="W59" t="s">
        <v>138</v>
      </c>
    </row>
    <row r="60" spans="1:23" x14ac:dyDescent="0.55000000000000004">
      <c r="A60" t="s">
        <v>256</v>
      </c>
      <c r="B60" t="s">
        <v>132</v>
      </c>
      <c r="C60" t="s">
        <v>259</v>
      </c>
      <c r="D60">
        <v>59</v>
      </c>
      <c r="E60" t="s">
        <v>227</v>
      </c>
      <c r="F60" t="s">
        <v>249</v>
      </c>
      <c r="H60">
        <v>2</v>
      </c>
      <c r="I60" t="s">
        <v>172</v>
      </c>
      <c r="J60" t="s">
        <v>173</v>
      </c>
      <c r="K60">
        <f>2*3</f>
        <v>6</v>
      </c>
      <c r="L60" t="s">
        <v>137</v>
      </c>
      <c r="M60">
        <v>0</v>
      </c>
      <c r="N60">
        <v>6</v>
      </c>
      <c r="O60">
        <v>6</v>
      </c>
      <c r="P60">
        <v>3</v>
      </c>
      <c r="Q60">
        <v>0</v>
      </c>
      <c r="R60">
        <v>2</v>
      </c>
      <c r="S60">
        <v>2</v>
      </c>
      <c r="T60">
        <v>2</v>
      </c>
      <c r="U60">
        <v>0</v>
      </c>
      <c r="W60" t="s">
        <v>138</v>
      </c>
    </row>
    <row r="61" spans="1:23" x14ac:dyDescent="0.55000000000000004">
      <c r="A61" t="s">
        <v>256</v>
      </c>
      <c r="B61" t="s">
        <v>132</v>
      </c>
      <c r="C61" t="s">
        <v>259</v>
      </c>
      <c r="D61">
        <v>60</v>
      </c>
      <c r="E61" t="s">
        <v>227</v>
      </c>
      <c r="F61" t="s">
        <v>250</v>
      </c>
      <c r="H61">
        <v>5</v>
      </c>
      <c r="I61" t="s">
        <v>248</v>
      </c>
      <c r="J61" t="s">
        <v>242</v>
      </c>
      <c r="K61">
        <f>5*3</f>
        <v>15</v>
      </c>
      <c r="L61" t="s">
        <v>137</v>
      </c>
      <c r="M61">
        <v>0</v>
      </c>
      <c r="N61">
        <v>15</v>
      </c>
      <c r="O61">
        <v>15</v>
      </c>
      <c r="P61">
        <v>3</v>
      </c>
      <c r="Q61">
        <v>0</v>
      </c>
      <c r="R61">
        <v>5</v>
      </c>
      <c r="S61">
        <v>5</v>
      </c>
      <c r="T61">
        <v>5</v>
      </c>
      <c r="U61">
        <v>0</v>
      </c>
      <c r="W61" t="s">
        <v>138</v>
      </c>
    </row>
    <row r="62" spans="1:23" x14ac:dyDescent="0.55000000000000004">
      <c r="A62" t="s">
        <v>256</v>
      </c>
      <c r="B62" t="s">
        <v>132</v>
      </c>
      <c r="C62" t="s">
        <v>259</v>
      </c>
      <c r="D62">
        <v>61</v>
      </c>
      <c r="E62" t="s">
        <v>227</v>
      </c>
      <c r="F62" t="s">
        <v>251</v>
      </c>
      <c r="H62">
        <v>3</v>
      </c>
      <c r="I62" t="s">
        <v>146</v>
      </c>
      <c r="J62" t="s">
        <v>147</v>
      </c>
      <c r="K62">
        <f>3*3</f>
        <v>9</v>
      </c>
      <c r="L62" t="s">
        <v>137</v>
      </c>
      <c r="M62">
        <v>0</v>
      </c>
      <c r="N62">
        <v>9</v>
      </c>
      <c r="O62">
        <v>9</v>
      </c>
      <c r="P62">
        <v>3</v>
      </c>
      <c r="Q62">
        <v>0</v>
      </c>
      <c r="R62">
        <v>3</v>
      </c>
      <c r="S62">
        <v>3</v>
      </c>
      <c r="T62">
        <v>3</v>
      </c>
      <c r="U62">
        <v>0</v>
      </c>
      <c r="W62" t="s">
        <v>138</v>
      </c>
    </row>
    <row r="63" spans="1:23" x14ac:dyDescent="0.55000000000000004">
      <c r="A63" t="s">
        <v>256</v>
      </c>
      <c r="B63" t="s">
        <v>132</v>
      </c>
      <c r="C63" t="s">
        <v>259</v>
      </c>
      <c r="D63">
        <v>62</v>
      </c>
      <c r="E63" t="s">
        <v>227</v>
      </c>
      <c r="F63" t="s">
        <v>252</v>
      </c>
      <c r="H63">
        <v>1</v>
      </c>
      <c r="I63" t="s">
        <v>193</v>
      </c>
      <c r="J63" t="s">
        <v>156</v>
      </c>
      <c r="K63">
        <f>1*3</f>
        <v>3</v>
      </c>
      <c r="L63" t="s">
        <v>137</v>
      </c>
      <c r="M63">
        <v>0</v>
      </c>
      <c r="N63">
        <v>3</v>
      </c>
      <c r="O63">
        <v>3</v>
      </c>
      <c r="P63">
        <v>3</v>
      </c>
      <c r="Q63">
        <v>0</v>
      </c>
      <c r="R63">
        <v>1</v>
      </c>
      <c r="S63">
        <v>1</v>
      </c>
      <c r="T63">
        <v>1</v>
      </c>
      <c r="U63">
        <v>0</v>
      </c>
      <c r="W63" t="s">
        <v>138</v>
      </c>
    </row>
    <row r="64" spans="1:23" x14ac:dyDescent="0.55000000000000004">
      <c r="A64" t="s">
        <v>256</v>
      </c>
      <c r="B64" t="s">
        <v>132</v>
      </c>
      <c r="C64" t="s">
        <v>259</v>
      </c>
      <c r="D64">
        <v>63</v>
      </c>
      <c r="E64" t="s">
        <v>227</v>
      </c>
      <c r="F64" t="s">
        <v>253</v>
      </c>
      <c r="H64">
        <v>2</v>
      </c>
      <c r="I64" t="s">
        <v>172</v>
      </c>
      <c r="J64" t="s">
        <v>173</v>
      </c>
      <c r="K64">
        <f>2*3</f>
        <v>6</v>
      </c>
      <c r="L64" t="s">
        <v>137</v>
      </c>
      <c r="M64">
        <v>0</v>
      </c>
      <c r="N64">
        <v>6</v>
      </c>
      <c r="O64">
        <v>6</v>
      </c>
      <c r="P64">
        <v>3</v>
      </c>
      <c r="Q64">
        <v>0</v>
      </c>
      <c r="R64">
        <v>2</v>
      </c>
      <c r="S64">
        <v>2</v>
      </c>
      <c r="T64">
        <v>2</v>
      </c>
      <c r="U64">
        <v>0</v>
      </c>
      <c r="W64" t="s">
        <v>138</v>
      </c>
    </row>
    <row r="65" spans="1:23" x14ac:dyDescent="0.55000000000000004">
      <c r="A65" t="s">
        <v>256</v>
      </c>
      <c r="B65" t="s">
        <v>132</v>
      </c>
      <c r="C65" t="s">
        <v>259</v>
      </c>
      <c r="D65">
        <v>64</v>
      </c>
      <c r="E65" t="s">
        <v>227</v>
      </c>
      <c r="F65" t="s">
        <v>254</v>
      </c>
      <c r="H65">
        <v>5</v>
      </c>
      <c r="I65" t="s">
        <v>248</v>
      </c>
      <c r="J65" t="s">
        <v>242</v>
      </c>
      <c r="K65">
        <f>5*3</f>
        <v>15</v>
      </c>
      <c r="L65" t="s">
        <v>137</v>
      </c>
      <c r="M65">
        <v>0</v>
      </c>
      <c r="N65">
        <v>15</v>
      </c>
      <c r="O65">
        <v>15</v>
      </c>
      <c r="P65">
        <v>3</v>
      </c>
      <c r="Q65">
        <v>0</v>
      </c>
      <c r="R65">
        <v>5</v>
      </c>
      <c r="S65">
        <v>5</v>
      </c>
      <c r="T65">
        <v>5</v>
      </c>
      <c r="U65">
        <v>0</v>
      </c>
      <c r="W65" t="s">
        <v>138</v>
      </c>
    </row>
    <row r="66" spans="1:23" x14ac:dyDescent="0.55000000000000004">
      <c r="A66" t="s">
        <v>256</v>
      </c>
      <c r="B66" t="s">
        <v>132</v>
      </c>
      <c r="C66" t="s">
        <v>259</v>
      </c>
      <c r="D66">
        <v>65</v>
      </c>
      <c r="E66" t="s">
        <v>227</v>
      </c>
      <c r="F66" t="s">
        <v>255</v>
      </c>
      <c r="H66">
        <v>2</v>
      </c>
      <c r="I66" t="s">
        <v>172</v>
      </c>
      <c r="J66" t="s">
        <v>173</v>
      </c>
      <c r="K66">
        <f>2*3</f>
        <v>6</v>
      </c>
      <c r="L66" t="s">
        <v>137</v>
      </c>
      <c r="M66">
        <v>0</v>
      </c>
      <c r="N66">
        <v>6</v>
      </c>
      <c r="O66">
        <v>6</v>
      </c>
      <c r="P66">
        <v>3</v>
      </c>
      <c r="Q66">
        <v>0</v>
      </c>
      <c r="R66">
        <v>2</v>
      </c>
      <c r="S66">
        <v>2</v>
      </c>
      <c r="T66">
        <v>2</v>
      </c>
      <c r="U66">
        <v>0</v>
      </c>
      <c r="W66" t="s">
        <v>138</v>
      </c>
    </row>
    <row r="67" spans="1:23" x14ac:dyDescent="0.55000000000000004">
      <c r="A67" t="s">
        <v>256</v>
      </c>
      <c r="B67" t="s">
        <v>132</v>
      </c>
      <c r="C67" t="s">
        <v>259</v>
      </c>
      <c r="D67">
        <v>66</v>
      </c>
      <c r="E67" t="s">
        <v>257</v>
      </c>
      <c r="F67" t="s">
        <v>258</v>
      </c>
      <c r="J67">
        <v>548</v>
      </c>
      <c r="K67">
        <v>548</v>
      </c>
      <c r="N67">
        <v>548</v>
      </c>
      <c r="O67">
        <v>548</v>
      </c>
    </row>
  </sheetData>
  <pageMargins left="0.7" right="0.7" top="0.75" bottom="0.75" header="0.3" footer="0.3"/>
  <ignoredErrors>
    <ignoredError sqref="K29:K30 K60 K6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158C-7311-4997-88B6-5F5711CDE104}">
  <dimension ref="A1:J21"/>
  <sheetViews>
    <sheetView workbookViewId="0">
      <selection activeCell="I6" sqref="I6"/>
    </sheetView>
  </sheetViews>
  <sheetFormatPr defaultRowHeight="14.4" x14ac:dyDescent="0.55000000000000004"/>
  <cols>
    <col min="1" max="1" width="6" bestFit="1" customWidth="1"/>
    <col min="2" max="2" width="19.41796875" bestFit="1" customWidth="1"/>
    <col min="3" max="3" width="21.3125" bestFit="1" customWidth="1"/>
    <col min="4" max="4" width="15.20703125" bestFit="1" customWidth="1"/>
    <col min="5" max="5" width="15.3125" bestFit="1" customWidth="1"/>
    <col min="6" max="6" width="18.20703125" bestFit="1" customWidth="1"/>
    <col min="7" max="7" width="20.3125" bestFit="1" customWidth="1"/>
    <col min="8" max="8" width="15" bestFit="1" customWidth="1"/>
    <col min="9" max="9" width="15.20703125" bestFit="1" customWidth="1"/>
    <col min="10" max="10" width="11.523437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 t="s">
        <v>10</v>
      </c>
      <c r="B2" t="s">
        <v>11</v>
      </c>
      <c r="C2" t="s">
        <v>12</v>
      </c>
      <c r="D2">
        <f>'WLL Overall'!E11</f>
        <v>150284.08102999203</v>
      </c>
    </row>
    <row r="3" spans="1:10" x14ac:dyDescent="0.55000000000000004">
      <c r="A3" t="s">
        <v>10</v>
      </c>
      <c r="B3" t="s">
        <v>11</v>
      </c>
      <c r="C3" t="s">
        <v>13</v>
      </c>
      <c r="D3">
        <f>D4/D2</f>
        <v>4.0236095470945097</v>
      </c>
    </row>
    <row r="4" spans="1:10" x14ac:dyDescent="0.55000000000000004">
      <c r="A4" t="s">
        <v>10</v>
      </c>
      <c r="B4" t="s">
        <v>11</v>
      </c>
      <c r="C4" t="s">
        <v>14</v>
      </c>
      <c r="D4">
        <f>'WLL Overall'!E10</f>
        <v>604684.46320860088</v>
      </c>
    </row>
    <row r="5" spans="1:10" x14ac:dyDescent="0.55000000000000004">
      <c r="A5" t="s">
        <v>10</v>
      </c>
      <c r="B5" t="s">
        <v>11</v>
      </c>
      <c r="C5" t="s">
        <v>15</v>
      </c>
      <c r="E5">
        <f>'WLL Overall'!E12</f>
        <v>0.26153606600919099</v>
      </c>
      <c r="F5">
        <f>'WLL Overall'!E13</f>
        <v>5.9467543785236701E-3</v>
      </c>
      <c r="G5">
        <f>'WLL Overall'!E14</f>
        <v>3.3051915587619003E-2</v>
      </c>
      <c r="H5">
        <f>'WLL Overall'!E15</f>
        <v>0.33745929357442001</v>
      </c>
      <c r="I5">
        <f>'WLL Overall'!E16</f>
        <v>0.36200597045024702</v>
      </c>
    </row>
    <row r="6" spans="1:10" x14ac:dyDescent="0.55000000000000004">
      <c r="A6" t="s">
        <v>10</v>
      </c>
      <c r="B6" t="s">
        <v>11</v>
      </c>
      <c r="C6" t="s">
        <v>16</v>
      </c>
      <c r="E6">
        <f>$D$4*E5</f>
        <v>158146.79568445685</v>
      </c>
      <c r="F6">
        <f>$D$4*F5</f>
        <v>3595.9099792109823</v>
      </c>
      <c r="G6">
        <f>$D$4*G5</f>
        <v>19985.979835115384</v>
      </c>
      <c r="H6">
        <f>$D$4*H5</f>
        <v>204056.39178980183</v>
      </c>
      <c r="I6">
        <f>$D$4*I5</f>
        <v>218899.38592001624</v>
      </c>
    </row>
    <row r="7" spans="1:10" x14ac:dyDescent="0.55000000000000004">
      <c r="A7" t="s">
        <v>10</v>
      </c>
      <c r="B7" t="s">
        <v>11</v>
      </c>
      <c r="C7" t="s">
        <v>17</v>
      </c>
      <c r="E7">
        <v>340</v>
      </c>
      <c r="F7">
        <v>340</v>
      </c>
      <c r="G7">
        <v>340</v>
      </c>
      <c r="H7">
        <v>340</v>
      </c>
      <c r="I7">
        <v>340</v>
      </c>
    </row>
    <row r="8" spans="1:10" x14ac:dyDescent="0.55000000000000004">
      <c r="A8" t="s">
        <v>10</v>
      </c>
      <c r="B8" t="s">
        <v>11</v>
      </c>
      <c r="C8" t="s">
        <v>18</v>
      </c>
      <c r="E8">
        <f>139+11</f>
        <v>150</v>
      </c>
      <c r="F8">
        <f>76+11</f>
        <v>87</v>
      </c>
      <c r="G8">
        <f>164+11</f>
        <v>175</v>
      </c>
      <c r="H8">
        <f>71+11</f>
        <v>82</v>
      </c>
      <c r="I8">
        <f>33+11</f>
        <v>44</v>
      </c>
    </row>
    <row r="9" spans="1:10" x14ac:dyDescent="0.55000000000000004">
      <c r="A9" t="s">
        <v>10</v>
      </c>
      <c r="B9" t="s">
        <v>11</v>
      </c>
      <c r="C9" t="s">
        <v>19</v>
      </c>
      <c r="E9">
        <v>74.638181818181792</v>
      </c>
      <c r="F9">
        <v>51.466666666666669</v>
      </c>
      <c r="G9">
        <v>91.778571428571439</v>
      </c>
      <c r="H9">
        <v>45.009876543209842</v>
      </c>
      <c r="I9">
        <v>34.37903225806452</v>
      </c>
    </row>
    <row r="10" spans="1:10" x14ac:dyDescent="0.55000000000000004">
      <c r="A10" t="s">
        <v>10</v>
      </c>
      <c r="B10" t="s">
        <v>11</v>
      </c>
      <c r="C10" t="s">
        <v>20</v>
      </c>
      <c r="E10">
        <f>ROUNDDOWN(E7/E9,0)</f>
        <v>4</v>
      </c>
      <c r="F10">
        <f t="shared" ref="F10:I10" si="0">ROUNDDOWN(F7/F9,0)</f>
        <v>6</v>
      </c>
      <c r="G10">
        <f t="shared" si="0"/>
        <v>3</v>
      </c>
      <c r="H10">
        <f t="shared" si="0"/>
        <v>7</v>
      </c>
      <c r="I10">
        <f t="shared" si="0"/>
        <v>9</v>
      </c>
    </row>
    <row r="11" spans="1:10" x14ac:dyDescent="0.55000000000000004">
      <c r="A11" t="s">
        <v>10</v>
      </c>
      <c r="B11" t="s">
        <v>11</v>
      </c>
      <c r="C11" t="s">
        <v>21</v>
      </c>
      <c r="E11">
        <f>100/E8</f>
        <v>0.66666666666666663</v>
      </c>
      <c r="F11">
        <f t="shared" ref="F11:I11" si="1">100/F8</f>
        <v>1.1494252873563218</v>
      </c>
      <c r="G11">
        <f t="shared" si="1"/>
        <v>0.5714285714285714</v>
      </c>
      <c r="H11">
        <f t="shared" si="1"/>
        <v>1.2195121951219512</v>
      </c>
      <c r="I11">
        <f t="shared" si="1"/>
        <v>2.2727272727272729</v>
      </c>
    </row>
    <row r="12" spans="1:10" x14ac:dyDescent="0.55000000000000004">
      <c r="A12" t="s">
        <v>10</v>
      </c>
      <c r="B12" t="s">
        <v>11</v>
      </c>
      <c r="C12" t="s">
        <v>22</v>
      </c>
      <c r="E12">
        <f>E11*E10</f>
        <v>2.6666666666666665</v>
      </c>
      <c r="F12">
        <f t="shared" ref="F12:I12" si="2">F11*F10</f>
        <v>6.8965517241379306</v>
      </c>
      <c r="G12">
        <f t="shared" si="2"/>
        <v>1.7142857142857142</v>
      </c>
      <c r="H12">
        <f t="shared" si="2"/>
        <v>8.536585365853659</v>
      </c>
      <c r="I12">
        <f t="shared" si="2"/>
        <v>20.454545454545457</v>
      </c>
    </row>
    <row r="13" spans="1:10" x14ac:dyDescent="0.55000000000000004">
      <c r="A13" t="s">
        <v>10</v>
      </c>
      <c r="B13" t="s">
        <v>11</v>
      </c>
      <c r="C13" t="s">
        <v>23</v>
      </c>
      <c r="E13">
        <v>40</v>
      </c>
      <c r="F13">
        <v>40</v>
      </c>
      <c r="G13">
        <v>40</v>
      </c>
      <c r="H13">
        <v>40</v>
      </c>
      <c r="I13">
        <v>40</v>
      </c>
    </row>
    <row r="14" spans="1:10" x14ac:dyDescent="0.55000000000000004">
      <c r="A14" t="s">
        <v>10</v>
      </c>
      <c r="B14" t="s">
        <v>11</v>
      </c>
      <c r="C14" t="s">
        <v>24</v>
      </c>
      <c r="E14">
        <f>E13*E12</f>
        <v>106.66666666666666</v>
      </c>
      <c r="F14">
        <f t="shared" ref="F14:I14" si="3">F13*F12</f>
        <v>275.86206896551721</v>
      </c>
      <c r="G14">
        <f t="shared" si="3"/>
        <v>68.571428571428569</v>
      </c>
      <c r="H14">
        <f t="shared" si="3"/>
        <v>341.46341463414637</v>
      </c>
      <c r="I14">
        <f t="shared" si="3"/>
        <v>818.18181818181824</v>
      </c>
    </row>
    <row r="15" spans="1:10" x14ac:dyDescent="0.55000000000000004">
      <c r="A15" t="s">
        <v>10</v>
      </c>
      <c r="B15" t="s">
        <v>11</v>
      </c>
      <c r="C15" t="s">
        <v>25</v>
      </c>
      <c r="E15">
        <v>0.75</v>
      </c>
      <c r="F15">
        <v>0.75</v>
      </c>
      <c r="G15">
        <v>0.75</v>
      </c>
      <c r="H15">
        <v>0.75</v>
      </c>
      <c r="I15">
        <v>0.75</v>
      </c>
    </row>
    <row r="16" spans="1:10" x14ac:dyDescent="0.55000000000000004">
      <c r="A16" t="s">
        <v>10</v>
      </c>
      <c r="B16" t="s">
        <v>11</v>
      </c>
      <c r="C16" t="s">
        <v>26</v>
      </c>
      <c r="E16">
        <f>E14*E15</f>
        <v>80</v>
      </c>
      <c r="F16">
        <f t="shared" ref="F16:I16" si="4">F14*F15</f>
        <v>206.89655172413791</v>
      </c>
      <c r="G16">
        <f t="shared" si="4"/>
        <v>51.428571428571431</v>
      </c>
      <c r="H16">
        <f t="shared" si="4"/>
        <v>256.09756097560978</v>
      </c>
      <c r="I16">
        <f t="shared" si="4"/>
        <v>613.63636363636374</v>
      </c>
    </row>
    <row r="17" spans="1:10" x14ac:dyDescent="0.55000000000000004">
      <c r="A17" t="s">
        <v>10</v>
      </c>
      <c r="B17" t="s">
        <v>11</v>
      </c>
      <c r="C17" t="s">
        <v>27</v>
      </c>
      <c r="E17">
        <v>24</v>
      </c>
      <c r="F17">
        <v>24</v>
      </c>
      <c r="G17">
        <v>24</v>
      </c>
      <c r="H17">
        <v>24</v>
      </c>
      <c r="I17">
        <v>24</v>
      </c>
    </row>
    <row r="18" spans="1:10" x14ac:dyDescent="0.55000000000000004">
      <c r="A18" t="s">
        <v>10</v>
      </c>
      <c r="B18" t="s">
        <v>11</v>
      </c>
      <c r="C18" t="s">
        <v>28</v>
      </c>
      <c r="E18">
        <f>E17*60*E16</f>
        <v>115200</v>
      </c>
      <c r="F18">
        <f t="shared" ref="F18:I18" si="5">F17*60*F16</f>
        <v>297931.03448275861</v>
      </c>
      <c r="G18">
        <f t="shared" si="5"/>
        <v>74057.142857142855</v>
      </c>
      <c r="H18">
        <f t="shared" si="5"/>
        <v>368780.4878048781</v>
      </c>
      <c r="I18">
        <f t="shared" si="5"/>
        <v>883636.36363636376</v>
      </c>
    </row>
    <row r="19" spans="1:10" x14ac:dyDescent="0.55000000000000004">
      <c r="A19" t="s">
        <v>10</v>
      </c>
      <c r="B19" t="s">
        <v>11</v>
      </c>
      <c r="C19" t="s">
        <v>29</v>
      </c>
      <c r="E19" s="2">
        <f>E6/E18</f>
        <v>1.3728020458720214</v>
      </c>
      <c r="F19" s="2">
        <f t="shared" ref="F19:I19" si="6">F6/F18</f>
        <v>1.2069605254296121E-2</v>
      </c>
      <c r="G19" s="2">
        <f t="shared" si="6"/>
        <v>0.26987241289700559</v>
      </c>
      <c r="H19" s="2">
        <f t="shared" si="6"/>
        <v>0.55332751741943609</v>
      </c>
      <c r="I19" s="2">
        <f t="shared" si="6"/>
        <v>0.24772564250207596</v>
      </c>
    </row>
    <row r="20" spans="1:10" x14ac:dyDescent="0.55000000000000004">
      <c r="A20" t="s">
        <v>10</v>
      </c>
      <c r="B20" t="s">
        <v>11</v>
      </c>
      <c r="C20" t="s">
        <v>30</v>
      </c>
      <c r="J20">
        <f>SUM(E19:I19)</f>
        <v>2.4557972239448351</v>
      </c>
    </row>
    <row r="21" spans="1:10" x14ac:dyDescent="0.55000000000000004">
      <c r="A21" t="s">
        <v>10</v>
      </c>
      <c r="B21" t="s">
        <v>11</v>
      </c>
      <c r="C21" t="s">
        <v>31</v>
      </c>
      <c r="J21">
        <f>ROUNDUP(J20,0)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53F7-6A5A-44CC-8C39-29FA8D4CBFE0}">
  <dimension ref="A1:J18"/>
  <sheetViews>
    <sheetView tabSelected="1" workbookViewId="0">
      <selection activeCell="G6" sqref="G6"/>
    </sheetView>
  </sheetViews>
  <sheetFormatPr defaultRowHeight="14.4" x14ac:dyDescent="0.55000000000000004"/>
  <cols>
    <col min="1" max="1" width="6" bestFit="1" customWidth="1"/>
    <col min="2" max="2" width="34.3125" bestFit="1" customWidth="1"/>
    <col min="3" max="3" width="21.3125" bestFit="1" customWidth="1"/>
    <col min="4" max="4" width="15.20703125" bestFit="1" customWidth="1"/>
    <col min="5" max="10" width="11.6835937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9</v>
      </c>
    </row>
    <row r="2" spans="1:10" x14ac:dyDescent="0.55000000000000004">
      <c r="A2" t="s">
        <v>10</v>
      </c>
      <c r="B2" t="s">
        <v>37</v>
      </c>
      <c r="C2" t="s">
        <v>12</v>
      </c>
      <c r="D2">
        <f>'WLL - AUTOMATIC'!E3</f>
        <v>106860.04306556293</v>
      </c>
    </row>
    <row r="3" spans="1:10" x14ac:dyDescent="0.55000000000000004">
      <c r="A3" t="s">
        <v>10</v>
      </c>
      <c r="B3" t="s">
        <v>37</v>
      </c>
      <c r="C3" t="s">
        <v>13</v>
      </c>
      <c r="D3">
        <f>D4/D2</f>
        <v>4.0334875313081504</v>
      </c>
    </row>
    <row r="4" spans="1:10" x14ac:dyDescent="0.55000000000000004">
      <c r="A4" t="s">
        <v>10</v>
      </c>
      <c r="B4" t="s">
        <v>37</v>
      </c>
      <c r="C4" t="s">
        <v>14</v>
      </c>
      <c r="D4">
        <f>'WLL - AUTOMATIC'!E2</f>
        <v>431018.65130000003</v>
      </c>
    </row>
    <row r="5" spans="1:10" x14ac:dyDescent="0.55000000000000004">
      <c r="A5" t="s">
        <v>10</v>
      </c>
      <c r="B5" t="s">
        <v>37</v>
      </c>
      <c r="C5" t="s">
        <v>15</v>
      </c>
      <c r="E5">
        <f>'WLL - AUTOMATIC'!E10</f>
        <v>0.23656935000000001</v>
      </c>
      <c r="F5">
        <f>'WLL - AUTOMATIC'!E11</f>
        <v>5.2710229999999997E-3</v>
      </c>
      <c r="G5">
        <f>'WLL - AUTOMATIC'!E12</f>
        <v>2.7182814999999999E-2</v>
      </c>
      <c r="H5">
        <f>'WLL - AUTOMATIC'!E13</f>
        <v>0.25361167299999998</v>
      </c>
      <c r="I5">
        <f>'WLL - AUTOMATIC'!E14</f>
        <v>0.47736514000000002</v>
      </c>
    </row>
    <row r="6" spans="1:10" x14ac:dyDescent="0.55000000000000004">
      <c r="A6" t="s">
        <v>10</v>
      </c>
      <c r="B6" t="s">
        <v>37</v>
      </c>
      <c r="C6" t="s">
        <v>16</v>
      </c>
      <c r="E6">
        <f>$D$4*E5</f>
        <v>101965.80217591766</v>
      </c>
      <c r="F6">
        <f t="shared" ref="F6:I6" si="0">$D$4*F5</f>
        <v>2271.9092244312801</v>
      </c>
      <c r="G6">
        <f t="shared" si="0"/>
        <v>11716.30025983741</v>
      </c>
      <c r="H6">
        <f t="shared" si="0"/>
        <v>109311.36125039663</v>
      </c>
      <c r="I6">
        <f t="shared" si="0"/>
        <v>205753.27882043569</v>
      </c>
    </row>
    <row r="7" spans="1:10" x14ac:dyDescent="0.55000000000000004">
      <c r="A7" t="s">
        <v>10</v>
      </c>
      <c r="B7" t="s">
        <v>37</v>
      </c>
      <c r="C7" t="s">
        <v>38</v>
      </c>
      <c r="E7">
        <f>139+11</f>
        <v>150</v>
      </c>
      <c r="F7">
        <f>76+11</f>
        <v>87</v>
      </c>
      <c r="G7">
        <f>164+11</f>
        <v>175</v>
      </c>
      <c r="H7">
        <f>71+11</f>
        <v>82</v>
      </c>
      <c r="I7">
        <f>33+11</f>
        <v>44</v>
      </c>
    </row>
    <row r="8" spans="1:10" x14ac:dyDescent="0.55000000000000004">
      <c r="A8" t="s">
        <v>10</v>
      </c>
      <c r="B8" t="s">
        <v>37</v>
      </c>
      <c r="C8" t="s">
        <v>39</v>
      </c>
      <c r="E8" s="4">
        <f>E6</f>
        <v>101965.80217591766</v>
      </c>
      <c r="F8" s="4">
        <f t="shared" ref="F8:I8" si="1">F6</f>
        <v>2271.9092244312801</v>
      </c>
      <c r="G8" s="4">
        <f t="shared" si="1"/>
        <v>11716.30025983741</v>
      </c>
      <c r="H8" s="4">
        <f t="shared" si="1"/>
        <v>109311.36125039663</v>
      </c>
      <c r="I8" s="4">
        <f t="shared" si="1"/>
        <v>205753.27882043569</v>
      </c>
    </row>
    <row r="9" spans="1:10" x14ac:dyDescent="0.55000000000000004">
      <c r="A9" t="s">
        <v>10</v>
      </c>
      <c r="B9" t="s">
        <v>37</v>
      </c>
      <c r="C9" t="s">
        <v>21</v>
      </c>
      <c r="E9" s="3">
        <f>100/E7</f>
        <v>0.66666666666666663</v>
      </c>
      <c r="F9" s="3">
        <f t="shared" ref="F9:I9" si="2">100/F7</f>
        <v>1.1494252873563218</v>
      </c>
      <c r="G9" s="3">
        <f t="shared" si="2"/>
        <v>0.5714285714285714</v>
      </c>
      <c r="H9" s="3">
        <f t="shared" si="2"/>
        <v>1.2195121951219512</v>
      </c>
      <c r="I9" s="3">
        <f t="shared" si="2"/>
        <v>2.2727272727272729</v>
      </c>
    </row>
    <row r="10" spans="1:10" x14ac:dyDescent="0.55000000000000004">
      <c r="A10" t="s">
        <v>10</v>
      </c>
      <c r="B10" t="s">
        <v>37</v>
      </c>
      <c r="C10" t="s">
        <v>23</v>
      </c>
      <c r="E10" s="3">
        <v>16</v>
      </c>
      <c r="F10" s="3">
        <v>16</v>
      </c>
      <c r="G10" s="3">
        <v>16</v>
      </c>
      <c r="H10" s="3">
        <v>16</v>
      </c>
      <c r="I10" s="3">
        <v>16</v>
      </c>
    </row>
    <row r="11" spans="1:10" x14ac:dyDescent="0.55000000000000004">
      <c r="A11" t="s">
        <v>10</v>
      </c>
      <c r="B11" t="s">
        <v>37</v>
      </c>
      <c r="C11" t="s">
        <v>24</v>
      </c>
      <c r="E11" s="3">
        <f>E10*E9</f>
        <v>10.666666666666666</v>
      </c>
      <c r="F11" s="3">
        <f t="shared" ref="F11:I11" si="3">F10*F9</f>
        <v>18.390804597701148</v>
      </c>
      <c r="G11" s="3">
        <f t="shared" si="3"/>
        <v>9.1428571428571423</v>
      </c>
      <c r="H11" s="3">
        <f t="shared" si="3"/>
        <v>19.512195121951219</v>
      </c>
      <c r="I11" s="3">
        <f t="shared" si="3"/>
        <v>36.363636363636367</v>
      </c>
    </row>
    <row r="12" spans="1:10" x14ac:dyDescent="0.55000000000000004">
      <c r="A12" t="s">
        <v>10</v>
      </c>
      <c r="B12" t="s">
        <v>37</v>
      </c>
      <c r="C12" t="s">
        <v>25</v>
      </c>
      <c r="E12" s="5">
        <v>0.75</v>
      </c>
      <c r="F12" s="5">
        <v>0.75</v>
      </c>
      <c r="G12" s="5">
        <v>0.75</v>
      </c>
      <c r="H12" s="5">
        <v>0.75</v>
      </c>
      <c r="I12" s="5">
        <v>0.75</v>
      </c>
    </row>
    <row r="13" spans="1:10" x14ac:dyDescent="0.55000000000000004">
      <c r="A13" t="s">
        <v>10</v>
      </c>
      <c r="B13" t="s">
        <v>37</v>
      </c>
      <c r="C13" t="s">
        <v>26</v>
      </c>
      <c r="E13" s="3">
        <f>E11*E12</f>
        <v>8</v>
      </c>
      <c r="F13" s="3">
        <f t="shared" ref="F13:I13" si="4">F11*F12</f>
        <v>13.793103448275861</v>
      </c>
      <c r="G13" s="3">
        <f t="shared" si="4"/>
        <v>6.8571428571428568</v>
      </c>
      <c r="H13" s="3">
        <f t="shared" si="4"/>
        <v>14.634146341463413</v>
      </c>
      <c r="I13" s="3">
        <f t="shared" si="4"/>
        <v>27.272727272727273</v>
      </c>
    </row>
    <row r="14" spans="1:10" x14ac:dyDescent="0.55000000000000004">
      <c r="A14" t="s">
        <v>10</v>
      </c>
      <c r="B14" t="s">
        <v>37</v>
      </c>
      <c r="C14" t="s">
        <v>27</v>
      </c>
      <c r="E14" s="3">
        <v>22.5</v>
      </c>
      <c r="F14" s="3">
        <v>22.5</v>
      </c>
      <c r="G14" s="3">
        <v>22.5</v>
      </c>
      <c r="H14" s="3">
        <v>22.5</v>
      </c>
      <c r="I14" s="3">
        <v>22.5</v>
      </c>
    </row>
    <row r="15" spans="1:10" x14ac:dyDescent="0.55000000000000004">
      <c r="A15" t="s">
        <v>10</v>
      </c>
      <c r="B15" t="s">
        <v>37</v>
      </c>
      <c r="C15" t="s">
        <v>28</v>
      </c>
      <c r="E15" s="4">
        <f>E14*60*E13</f>
        <v>10800</v>
      </c>
      <c r="F15" s="4">
        <f t="shared" ref="F15:I15" si="5">F14*60*F13</f>
        <v>18620.689655172413</v>
      </c>
      <c r="G15" s="4">
        <f t="shared" si="5"/>
        <v>9257.1428571428569</v>
      </c>
      <c r="H15" s="4">
        <f t="shared" si="5"/>
        <v>19756.09756097561</v>
      </c>
      <c r="I15" s="4">
        <f t="shared" si="5"/>
        <v>36818.181818181816</v>
      </c>
    </row>
    <row r="16" spans="1:10" x14ac:dyDescent="0.55000000000000004">
      <c r="A16" t="s">
        <v>10</v>
      </c>
      <c r="B16" t="s">
        <v>37</v>
      </c>
      <c r="C16" t="s">
        <v>29</v>
      </c>
      <c r="E16" s="3">
        <f>E8/E15</f>
        <v>9.4412779792516357</v>
      </c>
      <c r="F16" s="3">
        <f t="shared" ref="F16:I16" si="6">F8/F15</f>
        <v>0.12200993983056875</v>
      </c>
      <c r="G16" s="3">
        <f t="shared" si="6"/>
        <v>1.2656497194268808</v>
      </c>
      <c r="H16" s="3">
        <f t="shared" si="6"/>
        <v>5.5330442114398295</v>
      </c>
      <c r="I16" s="3">
        <f t="shared" si="6"/>
        <v>5.5883606593204762</v>
      </c>
    </row>
    <row r="17" spans="1:10" x14ac:dyDescent="0.55000000000000004">
      <c r="A17" t="s">
        <v>10</v>
      </c>
      <c r="B17" t="s">
        <v>37</v>
      </c>
      <c r="C17" t="s">
        <v>30</v>
      </c>
      <c r="J17" s="3">
        <f>SUM(E16:I16)</f>
        <v>21.95034250926939</v>
      </c>
    </row>
    <row r="18" spans="1:10" x14ac:dyDescent="0.55000000000000004">
      <c r="A18" t="s">
        <v>10</v>
      </c>
      <c r="B18" t="s">
        <v>37</v>
      </c>
      <c r="C18" t="s">
        <v>31</v>
      </c>
      <c r="J18" s="3">
        <f>ROUNDUP(J17,0)</f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12E5-62FB-4E39-A76E-546DEC643B34}">
  <dimension ref="A1:J19"/>
  <sheetViews>
    <sheetView workbookViewId="0">
      <selection activeCell="E5" sqref="E5:I6"/>
    </sheetView>
  </sheetViews>
  <sheetFormatPr defaultRowHeight="14.4" x14ac:dyDescent="0.55000000000000004"/>
  <cols>
    <col min="1" max="1" width="6" bestFit="1" customWidth="1"/>
    <col min="2" max="2" width="32" bestFit="1" customWidth="1"/>
    <col min="3" max="3" width="21.3125" bestFit="1" customWidth="1"/>
    <col min="4" max="4" width="15.20703125" bestFit="1" customWidth="1"/>
    <col min="5" max="9" width="11.68359375" bestFit="1" customWidth="1"/>
    <col min="10" max="10" width="10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9</v>
      </c>
    </row>
    <row r="2" spans="1:10" x14ac:dyDescent="0.55000000000000004">
      <c r="A2" t="s">
        <v>10</v>
      </c>
      <c r="B2" t="s">
        <v>40</v>
      </c>
      <c r="C2" t="s">
        <v>12</v>
      </c>
      <c r="D2">
        <f>('WLL Overall'!E5+'WLL Overall'!E7+'WLL Overall'!E9)</f>
        <v>43424.037964429001</v>
      </c>
    </row>
    <row r="3" spans="1:10" x14ac:dyDescent="0.55000000000000004">
      <c r="A3" t="s">
        <v>10</v>
      </c>
      <c r="B3" t="s">
        <v>40</v>
      </c>
      <c r="C3" t="s">
        <v>13</v>
      </c>
      <c r="D3">
        <v>4</v>
      </c>
    </row>
    <row r="4" spans="1:10" x14ac:dyDescent="0.55000000000000004">
      <c r="A4" t="s">
        <v>10</v>
      </c>
      <c r="B4" t="s">
        <v>40</v>
      </c>
      <c r="C4" t="s">
        <v>14</v>
      </c>
      <c r="D4">
        <f>('WLL Overall'!E4+'WLL Overall'!E6+'WLL Overall'!E8)</f>
        <v>173665.81186298589</v>
      </c>
    </row>
    <row r="5" spans="1:10" x14ac:dyDescent="0.55000000000000004">
      <c r="A5" t="s">
        <v>10</v>
      </c>
      <c r="B5" t="s">
        <v>40</v>
      </c>
      <c r="C5" t="s">
        <v>15</v>
      </c>
      <c r="E5">
        <v>0.21579999999999999</v>
      </c>
      <c r="F5">
        <v>5.0000000000000001E-3</v>
      </c>
      <c r="G5">
        <v>3.0499999999999999E-2</v>
      </c>
      <c r="H5">
        <v>0.3392</v>
      </c>
      <c r="I5">
        <v>0.12239999999999999</v>
      </c>
    </row>
    <row r="6" spans="1:10" x14ac:dyDescent="0.55000000000000004">
      <c r="A6" t="s">
        <v>10</v>
      </c>
      <c r="B6" t="s">
        <v>40</v>
      </c>
      <c r="C6" t="s">
        <v>16</v>
      </c>
      <c r="E6">
        <f>$D$4*E5</f>
        <v>37477.082200032353</v>
      </c>
      <c r="F6">
        <f>$D$4*F5</f>
        <v>868.32905931492951</v>
      </c>
      <c r="G6">
        <f>$D$4*G5</f>
        <v>5296.8072618210699</v>
      </c>
      <c r="H6">
        <f>$D$4*H5</f>
        <v>58907.443383924816</v>
      </c>
      <c r="I6">
        <f>$D$4*I5</f>
        <v>21256.695372029473</v>
      </c>
    </row>
    <row r="7" spans="1:10" x14ac:dyDescent="0.55000000000000004">
      <c r="A7" t="s">
        <v>10</v>
      </c>
      <c r="B7" t="s">
        <v>40</v>
      </c>
      <c r="C7" t="s">
        <v>38</v>
      </c>
      <c r="E7">
        <v>150</v>
      </c>
      <c r="F7">
        <v>87</v>
      </c>
      <c r="G7">
        <v>175</v>
      </c>
      <c r="H7">
        <v>82</v>
      </c>
      <c r="I7">
        <v>44</v>
      </c>
    </row>
    <row r="8" spans="1:10" x14ac:dyDescent="0.55000000000000004">
      <c r="A8" t="s">
        <v>10</v>
      </c>
      <c r="B8" t="s">
        <v>40</v>
      </c>
      <c r="C8" t="s">
        <v>39</v>
      </c>
      <c r="E8">
        <f>E6</f>
        <v>37477.082200032353</v>
      </c>
      <c r="F8">
        <f t="shared" ref="F8:I8" si="0">F6</f>
        <v>868.32905931492951</v>
      </c>
      <c r="G8">
        <f t="shared" si="0"/>
        <v>5296.8072618210699</v>
      </c>
      <c r="H8">
        <f t="shared" si="0"/>
        <v>58907.443383924816</v>
      </c>
      <c r="I8">
        <f t="shared" si="0"/>
        <v>21256.695372029473</v>
      </c>
    </row>
    <row r="9" spans="1:10" x14ac:dyDescent="0.55000000000000004">
      <c r="A9" t="s">
        <v>10</v>
      </c>
      <c r="B9" t="s">
        <v>40</v>
      </c>
      <c r="C9" t="s">
        <v>21</v>
      </c>
      <c r="E9" s="3">
        <f>100/E7</f>
        <v>0.66666666666666663</v>
      </c>
      <c r="F9" s="3">
        <f t="shared" ref="F9:I9" si="1">100/F7</f>
        <v>1.1494252873563218</v>
      </c>
      <c r="G9" s="3">
        <f t="shared" si="1"/>
        <v>0.5714285714285714</v>
      </c>
      <c r="H9" s="3">
        <f t="shared" si="1"/>
        <v>1.2195121951219512</v>
      </c>
      <c r="I9" s="3">
        <f t="shared" si="1"/>
        <v>2.2727272727272729</v>
      </c>
    </row>
    <row r="10" spans="1:10" x14ac:dyDescent="0.55000000000000004">
      <c r="A10" t="s">
        <v>10</v>
      </c>
      <c r="B10" t="s">
        <v>40</v>
      </c>
      <c r="C10" t="s">
        <v>23</v>
      </c>
      <c r="E10" s="6">
        <v>16</v>
      </c>
      <c r="F10" s="6">
        <v>16</v>
      </c>
      <c r="G10" s="6">
        <v>16</v>
      </c>
      <c r="H10" s="6">
        <v>16</v>
      </c>
      <c r="I10" s="6">
        <v>16</v>
      </c>
    </row>
    <row r="11" spans="1:10" x14ac:dyDescent="0.55000000000000004">
      <c r="A11" t="s">
        <v>10</v>
      </c>
      <c r="B11" t="s">
        <v>40</v>
      </c>
      <c r="C11" t="s">
        <v>24</v>
      </c>
      <c r="E11" s="6">
        <f>E10*E9</f>
        <v>10.666666666666666</v>
      </c>
      <c r="F11" s="6">
        <f t="shared" ref="F11:I11" si="2">F10*F9</f>
        <v>18.390804597701148</v>
      </c>
      <c r="G11" s="6">
        <f t="shared" si="2"/>
        <v>9.1428571428571423</v>
      </c>
      <c r="H11" s="6">
        <f t="shared" si="2"/>
        <v>19.512195121951219</v>
      </c>
      <c r="I11" s="6">
        <f t="shared" si="2"/>
        <v>36.363636363636367</v>
      </c>
    </row>
    <row r="12" spans="1:10" x14ac:dyDescent="0.55000000000000004">
      <c r="A12" t="s">
        <v>10</v>
      </c>
      <c r="B12" t="s">
        <v>40</v>
      </c>
      <c r="C12" t="s">
        <v>25</v>
      </c>
      <c r="E12" s="5">
        <v>0.75</v>
      </c>
      <c r="F12" s="5">
        <v>0.75</v>
      </c>
      <c r="G12" s="5">
        <v>0.75</v>
      </c>
      <c r="H12" s="5">
        <v>0.75</v>
      </c>
      <c r="I12" s="5">
        <v>0.75</v>
      </c>
    </row>
    <row r="13" spans="1:10" x14ac:dyDescent="0.55000000000000004">
      <c r="A13" t="s">
        <v>10</v>
      </c>
      <c r="B13" t="s">
        <v>40</v>
      </c>
      <c r="C13" t="s">
        <v>26</v>
      </c>
      <c r="E13" s="6">
        <f>E11*E12</f>
        <v>8</v>
      </c>
      <c r="F13" s="6">
        <f t="shared" ref="F13:I13" si="3">F11*F12</f>
        <v>13.793103448275861</v>
      </c>
      <c r="G13" s="6">
        <f t="shared" si="3"/>
        <v>6.8571428571428568</v>
      </c>
      <c r="H13" s="6">
        <f t="shared" si="3"/>
        <v>14.634146341463413</v>
      </c>
      <c r="I13" s="6">
        <f t="shared" si="3"/>
        <v>27.272727272727273</v>
      </c>
    </row>
    <row r="14" spans="1:10" x14ac:dyDescent="0.55000000000000004">
      <c r="A14" t="s">
        <v>10</v>
      </c>
      <c r="B14" t="s">
        <v>40</v>
      </c>
      <c r="C14" t="s">
        <v>27</v>
      </c>
      <c r="E14" s="6">
        <v>22.5</v>
      </c>
      <c r="F14" s="6">
        <v>22.5</v>
      </c>
      <c r="G14" s="6">
        <v>22.5</v>
      </c>
      <c r="H14" s="6">
        <v>22.5</v>
      </c>
      <c r="I14" s="6">
        <v>22.5</v>
      </c>
    </row>
    <row r="15" spans="1:10" x14ac:dyDescent="0.55000000000000004">
      <c r="A15" t="s">
        <v>10</v>
      </c>
      <c r="B15" t="s">
        <v>40</v>
      </c>
      <c r="C15" t="s">
        <v>28</v>
      </c>
      <c r="E15" s="6">
        <f>E14*60*E13</f>
        <v>10800</v>
      </c>
      <c r="F15" s="6">
        <f t="shared" ref="F15:I15" si="4">F14*60*F13</f>
        <v>18620.689655172413</v>
      </c>
      <c r="G15" s="6">
        <f t="shared" si="4"/>
        <v>9257.1428571428569</v>
      </c>
      <c r="H15" s="6">
        <f t="shared" si="4"/>
        <v>19756.09756097561</v>
      </c>
      <c r="I15" s="6">
        <f t="shared" si="4"/>
        <v>36818.181818181816</v>
      </c>
    </row>
    <row r="16" spans="1:10" x14ac:dyDescent="0.55000000000000004">
      <c r="A16" t="s">
        <v>10</v>
      </c>
      <c r="B16" t="s">
        <v>40</v>
      </c>
      <c r="C16" t="s">
        <v>29</v>
      </c>
      <c r="E16" s="6">
        <f>E8/E15</f>
        <v>3.4701002037066995</v>
      </c>
      <c r="F16" s="6">
        <f t="shared" ref="F16:I16" si="5">F8/F15</f>
        <v>4.6632486518764733E-2</v>
      </c>
      <c r="G16" s="6">
        <f t="shared" si="5"/>
        <v>0.57218596964116497</v>
      </c>
      <c r="H16" s="6">
        <f t="shared" si="5"/>
        <v>2.981734788569034</v>
      </c>
      <c r="I16" s="6">
        <f t="shared" si="5"/>
        <v>0.57734234343783752</v>
      </c>
    </row>
    <row r="17" spans="1:10" x14ac:dyDescent="0.55000000000000004">
      <c r="A17" t="s">
        <v>10</v>
      </c>
      <c r="B17" t="s">
        <v>40</v>
      </c>
      <c r="C17" t="s">
        <v>30</v>
      </c>
      <c r="J17" s="6">
        <f>SUM(E16:I16)</f>
        <v>7.6479957918735018</v>
      </c>
    </row>
    <row r="18" spans="1:10" x14ac:dyDescent="0.55000000000000004">
      <c r="A18" t="s">
        <v>10</v>
      </c>
      <c r="B18" t="s">
        <v>40</v>
      </c>
      <c r="C18" t="s">
        <v>41</v>
      </c>
      <c r="J18">
        <v>1</v>
      </c>
    </row>
    <row r="19" spans="1:10" x14ac:dyDescent="0.55000000000000004">
      <c r="A19" t="s">
        <v>10</v>
      </c>
      <c r="B19" t="s">
        <v>40</v>
      </c>
      <c r="C19" t="s">
        <v>31</v>
      </c>
      <c r="J19" s="6">
        <f>ROUNDUP(SUM(J17:J18),0)</f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38B7-425A-490A-BC45-60A11D054B18}">
  <dimension ref="A1:J12"/>
  <sheetViews>
    <sheetView workbookViewId="0">
      <selection activeCell="E5" sqref="E5:I5"/>
    </sheetView>
  </sheetViews>
  <sheetFormatPr defaultRowHeight="14.4" x14ac:dyDescent="0.55000000000000004"/>
  <cols>
    <col min="1" max="1" width="6.41796875" bestFit="1" customWidth="1"/>
    <col min="2" max="2" width="18.1015625" bestFit="1" customWidth="1"/>
    <col min="3" max="3" width="22.89453125" bestFit="1" customWidth="1"/>
    <col min="4" max="4" width="16" bestFit="1" customWidth="1"/>
    <col min="5" max="7" width="12" bestFit="1" customWidth="1"/>
    <col min="8" max="8" width="10" bestFit="1" customWidth="1"/>
    <col min="9" max="9" width="12" bestFit="1" customWidth="1"/>
    <col min="10" max="10" width="10.6835937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9</v>
      </c>
    </row>
    <row r="2" spans="1:10" x14ac:dyDescent="0.55000000000000004">
      <c r="A2" t="s">
        <v>10</v>
      </c>
      <c r="B2" t="s">
        <v>43</v>
      </c>
      <c r="C2" t="s">
        <v>12</v>
      </c>
      <c r="D2">
        <f>'WLL - AUTOMATIC'!E3</f>
        <v>106860.04306556293</v>
      </c>
    </row>
    <row r="3" spans="1:10" x14ac:dyDescent="0.55000000000000004">
      <c r="A3" t="s">
        <v>10</v>
      </c>
      <c r="B3" t="s">
        <v>43</v>
      </c>
      <c r="C3" t="s">
        <v>13</v>
      </c>
      <c r="D3">
        <f>D4/D2</f>
        <v>4.0334875313081504</v>
      </c>
    </row>
    <row r="4" spans="1:10" x14ac:dyDescent="0.55000000000000004">
      <c r="A4" t="s">
        <v>10</v>
      </c>
      <c r="B4" t="s">
        <v>43</v>
      </c>
      <c r="C4" t="s">
        <v>14</v>
      </c>
      <c r="D4">
        <f>'WLL - AUTOMATIC'!E2</f>
        <v>431018.65130000003</v>
      </c>
    </row>
    <row r="5" spans="1:10" x14ac:dyDescent="0.55000000000000004">
      <c r="A5" t="s">
        <v>10</v>
      </c>
      <c r="B5" t="s">
        <v>43</v>
      </c>
      <c r="C5" t="s">
        <v>15</v>
      </c>
      <c r="E5">
        <f>'WLL - AUTOMATIC'!E10</f>
        <v>0.23656935000000001</v>
      </c>
      <c r="F5">
        <f>'WLL - AUTOMATIC'!E11</f>
        <v>5.2710229999999997E-3</v>
      </c>
      <c r="G5">
        <f>'WLL - AUTOMATIC'!E12</f>
        <v>2.7182814999999999E-2</v>
      </c>
      <c r="H5">
        <f>'WLL - AUTOMATIC'!E13</f>
        <v>0.25361167299999998</v>
      </c>
      <c r="I5">
        <f>'WLL - AUTOMATIC'!E14</f>
        <v>0.47736514000000002</v>
      </c>
    </row>
    <row r="6" spans="1:10" x14ac:dyDescent="0.55000000000000004">
      <c r="A6" t="s">
        <v>10</v>
      </c>
      <c r="B6" t="s">
        <v>43</v>
      </c>
      <c r="C6" t="s">
        <v>44</v>
      </c>
      <c r="E6">
        <v>307</v>
      </c>
      <c r="F6">
        <v>307</v>
      </c>
      <c r="G6">
        <v>264</v>
      </c>
      <c r="H6">
        <v>360</v>
      </c>
      <c r="I6">
        <v>600</v>
      </c>
    </row>
    <row r="7" spans="1:10" x14ac:dyDescent="0.55000000000000004">
      <c r="A7" t="s">
        <v>10</v>
      </c>
      <c r="B7" t="s">
        <v>43</v>
      </c>
      <c r="C7" t="s">
        <v>39</v>
      </c>
      <c r="E7">
        <f>$D$4*E5</f>
        <v>101965.80217591766</v>
      </c>
      <c r="F7">
        <f>$D$4*F5</f>
        <v>2271.9092244312801</v>
      </c>
      <c r="G7">
        <f>$D$4*G5</f>
        <v>11716.30025983741</v>
      </c>
      <c r="H7">
        <f>$D$4*H5</f>
        <v>109311.36125039663</v>
      </c>
      <c r="I7">
        <f>$D$4*I5</f>
        <v>205753.27882043569</v>
      </c>
    </row>
    <row r="8" spans="1:10" x14ac:dyDescent="0.55000000000000004">
      <c r="A8" t="s">
        <v>10</v>
      </c>
      <c r="B8" t="s">
        <v>43</v>
      </c>
      <c r="C8" t="s">
        <v>45</v>
      </c>
      <c r="E8">
        <v>0.65</v>
      </c>
      <c r="F8">
        <v>0.65</v>
      </c>
      <c r="G8">
        <v>0.65</v>
      </c>
      <c r="H8">
        <v>0.75</v>
      </c>
      <c r="I8">
        <v>0.75</v>
      </c>
    </row>
    <row r="9" spans="1:10" x14ac:dyDescent="0.55000000000000004">
      <c r="A9" t="s">
        <v>10</v>
      </c>
      <c r="B9" t="s">
        <v>43</v>
      </c>
      <c r="C9" t="s">
        <v>46</v>
      </c>
      <c r="E9">
        <v>24</v>
      </c>
      <c r="F9">
        <v>24</v>
      </c>
      <c r="G9">
        <v>24</v>
      </c>
      <c r="H9">
        <v>24</v>
      </c>
      <c r="I9">
        <v>24</v>
      </c>
    </row>
    <row r="10" spans="1:10" x14ac:dyDescent="0.55000000000000004">
      <c r="A10" t="s">
        <v>10</v>
      </c>
      <c r="B10" t="s">
        <v>43</v>
      </c>
      <c r="C10" t="s">
        <v>29</v>
      </c>
      <c r="E10" s="6">
        <f>E7/(E6*E8*E9)</f>
        <v>21.290779707658409</v>
      </c>
      <c r="F10" s="6">
        <f>F7/(F6*F8*F9)</f>
        <v>0.4743817807632339</v>
      </c>
      <c r="G10" s="6">
        <f t="shared" ref="G10:I10" si="0">G7/(G6*G8*G9)</f>
        <v>2.8448670017087729</v>
      </c>
      <c r="H10" s="6">
        <f t="shared" si="0"/>
        <v>16.869037229999481</v>
      </c>
      <c r="I10" s="6">
        <f t="shared" si="0"/>
        <v>19.051229520410711</v>
      </c>
    </row>
    <row r="11" spans="1:10" x14ac:dyDescent="0.55000000000000004">
      <c r="A11" t="s">
        <v>10</v>
      </c>
      <c r="B11" t="s">
        <v>43</v>
      </c>
      <c r="C11" t="s">
        <v>30</v>
      </c>
      <c r="E11" s="6">
        <f>ROUNDUP(SUM(E10),0)</f>
        <v>22</v>
      </c>
      <c r="F11" s="6">
        <f t="shared" ref="F11:I11" si="1">ROUNDUP(SUM(F10),0)</f>
        <v>1</v>
      </c>
      <c r="G11" s="6">
        <f t="shared" si="1"/>
        <v>3</v>
      </c>
      <c r="H11" s="6">
        <f t="shared" si="1"/>
        <v>17</v>
      </c>
      <c r="I11" s="6">
        <f t="shared" si="1"/>
        <v>20</v>
      </c>
    </row>
    <row r="12" spans="1:10" x14ac:dyDescent="0.55000000000000004">
      <c r="A12" t="s">
        <v>10</v>
      </c>
      <c r="B12" t="s">
        <v>43</v>
      </c>
      <c r="C12" t="s">
        <v>31</v>
      </c>
      <c r="J12" s="7">
        <f>SUM(E11:I11)</f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9EC1-0217-411F-8246-360F21EE3A7A}">
  <dimension ref="A1:J14"/>
  <sheetViews>
    <sheetView workbookViewId="0">
      <selection activeCell="E6" sqref="E6:I6"/>
    </sheetView>
  </sheetViews>
  <sheetFormatPr defaultRowHeight="14.4" x14ac:dyDescent="0.55000000000000004"/>
  <cols>
    <col min="1" max="1" width="6" bestFit="1" customWidth="1"/>
    <col min="2" max="2" width="31.5234375" bestFit="1" customWidth="1"/>
    <col min="3" max="3" width="20.1015625" bestFit="1" customWidth="1"/>
    <col min="4" max="4" width="15.20703125" bestFit="1" customWidth="1"/>
    <col min="5" max="5" width="12.5234375" bestFit="1" customWidth="1"/>
    <col min="6" max="9" width="11.68359375" bestFit="1" customWidth="1"/>
    <col min="10" max="10" width="10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9</v>
      </c>
    </row>
    <row r="2" spans="1:10" x14ac:dyDescent="0.55000000000000004">
      <c r="A2" t="s">
        <v>10</v>
      </c>
      <c r="B2" t="s">
        <v>51</v>
      </c>
      <c r="C2" t="s">
        <v>12</v>
      </c>
      <c r="D2">
        <f>'WLL - AUTOMATIC'!E3</f>
        <v>106860.04306556293</v>
      </c>
    </row>
    <row r="3" spans="1:10" x14ac:dyDescent="0.55000000000000004">
      <c r="A3" t="s">
        <v>10</v>
      </c>
      <c r="B3" t="s">
        <v>51</v>
      </c>
      <c r="C3" t="s">
        <v>13</v>
      </c>
      <c r="D3">
        <f>D4/D2</f>
        <v>4.0334875313081504</v>
      </c>
    </row>
    <row r="4" spans="1:10" x14ac:dyDescent="0.55000000000000004">
      <c r="A4" t="s">
        <v>10</v>
      </c>
      <c r="B4" t="s">
        <v>51</v>
      </c>
      <c r="C4" t="s">
        <v>14</v>
      </c>
      <c r="D4">
        <f>'WLL - AUTOMATIC'!E2</f>
        <v>431018.65130000003</v>
      </c>
    </row>
    <row r="5" spans="1:10" x14ac:dyDescent="0.55000000000000004">
      <c r="A5" t="s">
        <v>53</v>
      </c>
      <c r="B5" t="s">
        <v>51</v>
      </c>
      <c r="E5">
        <f>'WLL - AUTOMATIC'!E10</f>
        <v>0.23656935000000001</v>
      </c>
      <c r="F5">
        <f>'WLL - AUTOMATIC'!E11</f>
        <v>5.2710229999999997E-3</v>
      </c>
      <c r="G5">
        <f>'WLL - AUTOMATIC'!E12</f>
        <v>2.7182814999999999E-2</v>
      </c>
      <c r="H5">
        <f>'WLL - AUTOMATIC'!E13</f>
        <v>0.25361167299999998</v>
      </c>
      <c r="I5">
        <f>'WLL - AUTOMATIC'!E14</f>
        <v>0.47736514000000002</v>
      </c>
    </row>
    <row r="6" spans="1:10" x14ac:dyDescent="0.55000000000000004">
      <c r="A6" t="s">
        <v>54</v>
      </c>
      <c r="B6" t="s">
        <v>51</v>
      </c>
      <c r="C6" t="s">
        <v>39</v>
      </c>
      <c r="E6" s="1">
        <f>$D$4*E5</f>
        <v>101965.80217591766</v>
      </c>
      <c r="F6" s="1">
        <f t="shared" ref="F6:I6" si="0">$D$4*F5</f>
        <v>2271.9092244312801</v>
      </c>
      <c r="G6" s="1">
        <f t="shared" si="0"/>
        <v>11716.30025983741</v>
      </c>
      <c r="H6" s="1">
        <f t="shared" si="0"/>
        <v>109311.36125039663</v>
      </c>
      <c r="I6" s="1">
        <f t="shared" si="0"/>
        <v>205753.27882043569</v>
      </c>
    </row>
    <row r="7" spans="1:10" x14ac:dyDescent="0.55000000000000004">
      <c r="A7" t="s">
        <v>10</v>
      </c>
      <c r="B7" t="s">
        <v>51</v>
      </c>
      <c r="C7" t="s">
        <v>47</v>
      </c>
      <c r="E7">
        <v>0.05</v>
      </c>
      <c r="F7">
        <v>0.05</v>
      </c>
      <c r="G7">
        <v>0.05</v>
      </c>
      <c r="H7">
        <v>0.03</v>
      </c>
      <c r="I7">
        <v>1.4999999999999999E-2</v>
      </c>
    </row>
    <row r="8" spans="1:10" x14ac:dyDescent="0.55000000000000004">
      <c r="A8" t="s">
        <v>10</v>
      </c>
      <c r="B8" t="s">
        <v>51</v>
      </c>
      <c r="C8" t="s">
        <v>39</v>
      </c>
      <c r="E8" s="8">
        <f>E6*E7</f>
        <v>5098.2901087958835</v>
      </c>
      <c r="F8" s="8">
        <f t="shared" ref="F8:I8" si="1">F6*F7</f>
        <v>113.59546122156401</v>
      </c>
      <c r="G8" s="8">
        <f t="shared" si="1"/>
        <v>585.8150129918705</v>
      </c>
      <c r="H8" s="8">
        <f t="shared" si="1"/>
        <v>3279.3408375118988</v>
      </c>
      <c r="I8" s="8">
        <f t="shared" si="1"/>
        <v>3086.2991823065354</v>
      </c>
    </row>
    <row r="9" spans="1:10" x14ac:dyDescent="0.55000000000000004">
      <c r="A9" t="s">
        <v>10</v>
      </c>
      <c r="B9" t="s">
        <v>51</v>
      </c>
      <c r="C9" t="s">
        <v>48</v>
      </c>
      <c r="E9" s="2">
        <v>0.93955</v>
      </c>
      <c r="F9" s="2">
        <v>0.93955</v>
      </c>
      <c r="G9" s="2">
        <v>0.93955</v>
      </c>
      <c r="H9" s="2">
        <v>0.8075</v>
      </c>
      <c r="I9" s="2">
        <v>0.61512500000000003</v>
      </c>
    </row>
    <row r="10" spans="1:10" x14ac:dyDescent="0.55000000000000004">
      <c r="A10" t="s">
        <v>10</v>
      </c>
      <c r="B10" t="s">
        <v>51</v>
      </c>
      <c r="C10" t="s">
        <v>49</v>
      </c>
      <c r="E10" s="4">
        <f>(450/E9)</f>
        <v>478.95269011760951</v>
      </c>
      <c r="F10" s="4">
        <f>(450/F9)</f>
        <v>478.95269011760951</v>
      </c>
      <c r="G10" s="4">
        <f>(450/G9)</f>
        <v>478.95269011760951</v>
      </c>
      <c r="H10" s="4">
        <f>(450/H9)</f>
        <v>557.27554179566562</v>
      </c>
      <c r="I10" s="4">
        <f>(450/I9)</f>
        <v>731.55862629546834</v>
      </c>
    </row>
    <row r="11" spans="1:10" x14ac:dyDescent="0.55000000000000004">
      <c r="A11" t="s">
        <v>10</v>
      </c>
      <c r="B11" t="s">
        <v>51</v>
      </c>
      <c r="C11" t="s">
        <v>45</v>
      </c>
      <c r="E11" s="5">
        <v>0.65</v>
      </c>
      <c r="F11" s="5">
        <v>0.65</v>
      </c>
      <c r="G11" s="5">
        <v>0.65</v>
      </c>
      <c r="H11" s="5">
        <v>0.65</v>
      </c>
      <c r="I11" s="5">
        <v>0.65</v>
      </c>
    </row>
    <row r="12" spans="1:10" x14ac:dyDescent="0.55000000000000004">
      <c r="A12" t="s">
        <v>10</v>
      </c>
      <c r="B12" t="s">
        <v>51</v>
      </c>
      <c r="C12" t="s">
        <v>50</v>
      </c>
      <c r="E12" s="8">
        <f>E10*E11</f>
        <v>311.31924857644617</v>
      </c>
      <c r="F12" s="8">
        <f>F10*F11</f>
        <v>311.31924857644617</v>
      </c>
      <c r="G12" s="8">
        <f>G10*G11</f>
        <v>311.31924857644617</v>
      </c>
      <c r="H12" s="8">
        <f>H10*H11</f>
        <v>362.22910216718265</v>
      </c>
      <c r="I12" s="8">
        <f>I10*I11</f>
        <v>475.51310709205444</v>
      </c>
    </row>
    <row r="13" spans="1:10" x14ac:dyDescent="0.55000000000000004">
      <c r="A13" t="s">
        <v>10</v>
      </c>
      <c r="B13" t="s">
        <v>51</v>
      </c>
      <c r="C13" t="s">
        <v>29</v>
      </c>
      <c r="E13" s="6">
        <f>E8/E12</f>
        <v>16.376405031518537</v>
      </c>
      <c r="F13" s="6">
        <f>F8/F12</f>
        <v>0.36488415586571099</v>
      </c>
      <c r="G13" s="6">
        <f>G8/G12</f>
        <v>1.8817179331846561</v>
      </c>
      <c r="H13" s="6">
        <f>H8/H12</f>
        <v>9.0532229958661823</v>
      </c>
      <c r="I13" s="6">
        <f>I8/I12</f>
        <v>6.4904608017651544</v>
      </c>
    </row>
    <row r="14" spans="1:10" x14ac:dyDescent="0.55000000000000004">
      <c r="A14" t="s">
        <v>10</v>
      </c>
      <c r="B14" t="s">
        <v>51</v>
      </c>
      <c r="C14" t="s">
        <v>31</v>
      </c>
      <c r="J14" s="6">
        <f>ROUNDUP(SUM(E13:I13),0)</f>
        <v>35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D6FF-5434-42A3-903D-F15B1D470AC9}">
  <dimension ref="A1:J14"/>
  <sheetViews>
    <sheetView workbookViewId="0">
      <selection activeCell="E13" sqref="E13"/>
    </sheetView>
  </sheetViews>
  <sheetFormatPr defaultRowHeight="14.4" x14ac:dyDescent="0.55000000000000004"/>
  <cols>
    <col min="1" max="1" width="6" bestFit="1" customWidth="1"/>
    <col min="2" max="2" width="32.5234375" bestFit="1" customWidth="1"/>
    <col min="3" max="3" width="20.1015625" bestFit="1" customWidth="1"/>
    <col min="4" max="4" width="15.20703125" bestFit="1" customWidth="1"/>
    <col min="5" max="9" width="11.68359375" bestFit="1" customWidth="1"/>
    <col min="10" max="10" width="10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9</v>
      </c>
    </row>
    <row r="2" spans="1:10" x14ac:dyDescent="0.55000000000000004">
      <c r="A2" t="s">
        <v>10</v>
      </c>
      <c r="B2" t="s">
        <v>52</v>
      </c>
      <c r="C2" t="s">
        <v>12</v>
      </c>
      <c r="D2">
        <f>'WLL - AUTOMATIC'!E3</f>
        <v>106860.04306556293</v>
      </c>
    </row>
    <row r="3" spans="1:10" x14ac:dyDescent="0.55000000000000004">
      <c r="A3" t="s">
        <v>10</v>
      </c>
      <c r="B3" t="s">
        <v>52</v>
      </c>
      <c r="C3" t="s">
        <v>13</v>
      </c>
      <c r="D3">
        <f>D4/D2</f>
        <v>4.0334875313081504</v>
      </c>
    </row>
    <row r="4" spans="1:10" x14ac:dyDescent="0.55000000000000004">
      <c r="A4" t="s">
        <v>10</v>
      </c>
      <c r="B4" t="s">
        <v>52</v>
      </c>
      <c r="C4" t="s">
        <v>14</v>
      </c>
      <c r="D4">
        <f>'WLL - AUTOMATIC'!E2</f>
        <v>431018.65130000003</v>
      </c>
    </row>
    <row r="5" spans="1:10" x14ac:dyDescent="0.55000000000000004">
      <c r="A5" t="s">
        <v>10</v>
      </c>
      <c r="B5" t="s">
        <v>52</v>
      </c>
      <c r="C5" t="s">
        <v>15</v>
      </c>
      <c r="E5">
        <f>'WLL - AUTOMATIC'!E10</f>
        <v>0.23656935000000001</v>
      </c>
      <c r="F5">
        <f>'WLL - AUTOMATIC'!E11</f>
        <v>5.2710229999999997E-3</v>
      </c>
      <c r="G5">
        <f>'WLL - AUTOMATIC'!E12</f>
        <v>2.7182814999999999E-2</v>
      </c>
      <c r="H5">
        <f>'WLL - AUTOMATIC'!E13</f>
        <v>0.25361167299999998</v>
      </c>
      <c r="I5">
        <f>'WLL - AUTOMATIC'!E14</f>
        <v>0.47736514000000002</v>
      </c>
    </row>
    <row r="6" spans="1:10" x14ac:dyDescent="0.55000000000000004">
      <c r="A6" t="s">
        <v>10</v>
      </c>
      <c r="B6" t="s">
        <v>52</v>
      </c>
      <c r="C6" t="s">
        <v>16</v>
      </c>
      <c r="E6">
        <f>$D$4*E5</f>
        <v>101965.80217591766</v>
      </c>
      <c r="F6">
        <f t="shared" ref="F6:I6" si="0">$D$4*F5</f>
        <v>2271.9092244312801</v>
      </c>
      <c r="G6">
        <f t="shared" si="0"/>
        <v>11716.30025983741</v>
      </c>
      <c r="H6">
        <f t="shared" si="0"/>
        <v>109311.36125039663</v>
      </c>
      <c r="I6">
        <f t="shared" si="0"/>
        <v>205753.27882043569</v>
      </c>
    </row>
    <row r="7" spans="1:10" x14ac:dyDescent="0.55000000000000004">
      <c r="A7" t="s">
        <v>10</v>
      </c>
      <c r="B7" t="s">
        <v>52</v>
      </c>
      <c r="C7" t="s">
        <v>47</v>
      </c>
      <c r="E7">
        <v>8.5000000000000006E-3</v>
      </c>
      <c r="F7">
        <v>8.5000000000000006E-3</v>
      </c>
      <c r="G7">
        <v>8.5000000000000006E-3</v>
      </c>
      <c r="H7">
        <v>8.5000000000000006E-3</v>
      </c>
      <c r="I7">
        <v>8.5000000000000006E-3</v>
      </c>
    </row>
    <row r="8" spans="1:10" x14ac:dyDescent="0.55000000000000004">
      <c r="A8" t="s">
        <v>10</v>
      </c>
      <c r="B8" t="s">
        <v>52</v>
      </c>
      <c r="C8" t="s">
        <v>39</v>
      </c>
      <c r="E8" s="8">
        <f>E6*E7</f>
        <v>866.70931849530018</v>
      </c>
      <c r="F8" s="8">
        <f t="shared" ref="F8:I8" si="1">F6*F7</f>
        <v>19.311228407665883</v>
      </c>
      <c r="G8" s="8">
        <f t="shared" si="1"/>
        <v>99.588552208617983</v>
      </c>
      <c r="H8" s="8">
        <f t="shared" si="1"/>
        <v>929.14657062837136</v>
      </c>
      <c r="I8" s="8">
        <f t="shared" si="1"/>
        <v>1748.9028699737034</v>
      </c>
    </row>
    <row r="9" spans="1:10" x14ac:dyDescent="0.55000000000000004">
      <c r="A9" t="s">
        <v>10</v>
      </c>
      <c r="B9" t="s">
        <v>52</v>
      </c>
      <c r="C9" t="s">
        <v>48</v>
      </c>
      <c r="E9">
        <v>1.1875</v>
      </c>
      <c r="F9">
        <v>1.1875</v>
      </c>
      <c r="G9">
        <v>1.1875</v>
      </c>
      <c r="H9">
        <v>1.0640000000000001</v>
      </c>
      <c r="I9">
        <v>0.66974999999999996</v>
      </c>
    </row>
    <row r="10" spans="1:10" x14ac:dyDescent="0.55000000000000004">
      <c r="A10" t="s">
        <v>10</v>
      </c>
      <c r="B10" t="s">
        <v>52</v>
      </c>
      <c r="C10" t="s">
        <v>49</v>
      </c>
      <c r="E10" s="4">
        <f>(450/E9)</f>
        <v>378.94736842105266</v>
      </c>
      <c r="F10" s="4">
        <f>(450/F9)</f>
        <v>378.94736842105266</v>
      </c>
      <c r="G10" s="4">
        <f>(450/G9)</f>
        <v>378.94736842105266</v>
      </c>
      <c r="H10" s="4">
        <f>(450/H9)</f>
        <v>422.93233082706763</v>
      </c>
      <c r="I10" s="4">
        <f>(450/I9)</f>
        <v>671.89249720044802</v>
      </c>
    </row>
    <row r="11" spans="1:10" x14ac:dyDescent="0.55000000000000004">
      <c r="A11" t="s">
        <v>10</v>
      </c>
      <c r="B11" t="s">
        <v>52</v>
      </c>
      <c r="C11" t="s">
        <v>45</v>
      </c>
      <c r="E11" s="5">
        <v>0.65</v>
      </c>
      <c r="F11" s="5">
        <v>0.65</v>
      </c>
      <c r="G11" s="5">
        <v>0.65</v>
      </c>
      <c r="H11" s="5">
        <v>0.65</v>
      </c>
      <c r="I11" s="5">
        <v>0.65</v>
      </c>
    </row>
    <row r="12" spans="1:10" x14ac:dyDescent="0.55000000000000004">
      <c r="A12" t="s">
        <v>10</v>
      </c>
      <c r="B12" t="s">
        <v>52</v>
      </c>
      <c r="C12" t="s">
        <v>50</v>
      </c>
      <c r="E12" s="8">
        <f>E10*E11</f>
        <v>246.31578947368425</v>
      </c>
      <c r="F12" s="8">
        <f>F10*F11</f>
        <v>246.31578947368425</v>
      </c>
      <c r="G12" s="8">
        <f>G10*G11</f>
        <v>246.31578947368425</v>
      </c>
      <c r="H12" s="8">
        <f>H10*H11</f>
        <v>274.90601503759399</v>
      </c>
      <c r="I12" s="8">
        <f>I10*I11</f>
        <v>436.73012318029123</v>
      </c>
    </row>
    <row r="13" spans="1:10" x14ac:dyDescent="0.55000000000000004">
      <c r="A13" t="s">
        <v>10</v>
      </c>
      <c r="B13" t="s">
        <v>52</v>
      </c>
      <c r="C13" t="s">
        <v>29</v>
      </c>
      <c r="E13" s="6">
        <f>E8/E12</f>
        <v>3.5186916776518591</v>
      </c>
      <c r="F13" s="6">
        <f>F8/F12</f>
        <v>7.8400286270438407E-2</v>
      </c>
      <c r="G13" s="6">
        <f>G8/G12</f>
        <v>0.40431249828285071</v>
      </c>
      <c r="H13" s="6">
        <f>H8/H12</f>
        <v>3.3798699184567083</v>
      </c>
      <c r="I13" s="6">
        <f>I8/I12</f>
        <v>4.0045391356064535</v>
      </c>
    </row>
    <row r="14" spans="1:10" x14ac:dyDescent="0.55000000000000004">
      <c r="A14" t="s">
        <v>10</v>
      </c>
      <c r="B14" t="s">
        <v>52</v>
      </c>
      <c r="C14" t="s">
        <v>31</v>
      </c>
      <c r="J14" s="6">
        <f>ROUNDUP(SUM(E13:I13),0)</f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227C-8D3F-4FEA-B248-E689B60DCBC1}">
  <dimension ref="A1:J11"/>
  <sheetViews>
    <sheetView workbookViewId="0">
      <selection activeCell="E10" sqref="E10"/>
    </sheetView>
  </sheetViews>
  <sheetFormatPr defaultRowHeight="14.4" x14ac:dyDescent="0.55000000000000004"/>
  <cols>
    <col min="1" max="1" width="6" bestFit="1" customWidth="1"/>
    <col min="2" max="2" width="21.7890625" bestFit="1" customWidth="1"/>
    <col min="3" max="3" width="21.89453125" bestFit="1" customWidth="1"/>
    <col min="4" max="4" width="15.20703125" bestFit="1" customWidth="1"/>
    <col min="5" max="5" width="6.68359375" bestFit="1" customWidth="1"/>
    <col min="6" max="6" width="9" bestFit="1" customWidth="1"/>
    <col min="7" max="7" width="10.1015625" bestFit="1" customWidth="1"/>
    <col min="8" max="9" width="6.68359375" bestFit="1" customWidth="1"/>
    <col min="10" max="10" width="10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9</v>
      </c>
    </row>
    <row r="2" spans="1:10" x14ac:dyDescent="0.55000000000000004">
      <c r="A2" t="s">
        <v>10</v>
      </c>
      <c r="B2" t="s">
        <v>55</v>
      </c>
      <c r="C2" t="s">
        <v>12</v>
      </c>
      <c r="D2">
        <f>'SEMI-AUTOMATIC'!E3</f>
        <v>10000</v>
      </c>
    </row>
    <row r="3" spans="1:10" x14ac:dyDescent="0.55000000000000004">
      <c r="A3" t="s">
        <v>10</v>
      </c>
      <c r="B3" t="s">
        <v>55</v>
      </c>
      <c r="C3" t="s">
        <v>13</v>
      </c>
      <c r="D3">
        <f>D4/D2</f>
        <v>4.9862373</v>
      </c>
    </row>
    <row r="4" spans="1:10" x14ac:dyDescent="0.55000000000000004">
      <c r="A4" t="s">
        <v>10</v>
      </c>
      <c r="B4" t="s">
        <v>55</v>
      </c>
      <c r="C4" t="s">
        <v>14</v>
      </c>
      <c r="D4">
        <f>'SEMI-AUTOMATIC'!E2</f>
        <v>49862.373</v>
      </c>
    </row>
    <row r="5" spans="1:10" x14ac:dyDescent="0.55000000000000004">
      <c r="A5" t="s">
        <v>10</v>
      </c>
      <c r="B5" t="s">
        <v>55</v>
      </c>
      <c r="C5" t="s">
        <v>15</v>
      </c>
      <c r="E5">
        <f>'SEMI-AUTOMATIC'!E9</f>
        <v>0.18075318400000001</v>
      </c>
      <c r="F5">
        <f>'SEMI-AUTOMATIC'!E10</f>
        <v>8.1821959999999992E-3</v>
      </c>
      <c r="G5">
        <f>'SEMI-AUTOMATIC'!E11</f>
        <v>0</v>
      </c>
      <c r="H5">
        <f>'SEMI-AUTOMATIC'!E12</f>
        <v>0.53981022400000001</v>
      </c>
      <c r="I5">
        <f>'SEMI-AUTOMATIC'!E13</f>
        <v>0.27125439699999998</v>
      </c>
    </row>
    <row r="6" spans="1:10" x14ac:dyDescent="0.55000000000000004">
      <c r="A6" t="s">
        <v>10</v>
      </c>
      <c r="B6" t="s">
        <v>55</v>
      </c>
      <c r="C6" t="s">
        <v>44</v>
      </c>
      <c r="E6">
        <v>214</v>
      </c>
      <c r="F6">
        <v>214</v>
      </c>
      <c r="H6">
        <v>320</v>
      </c>
      <c r="I6">
        <v>374</v>
      </c>
    </row>
    <row r="7" spans="1:10" x14ac:dyDescent="0.55000000000000004">
      <c r="A7" t="s">
        <v>10</v>
      </c>
      <c r="B7" t="s">
        <v>55</v>
      </c>
      <c r="C7" t="s">
        <v>39</v>
      </c>
      <c r="E7">
        <f>$D$4*E5</f>
        <v>9012.7826815456319</v>
      </c>
      <c r="F7">
        <f>$D$4*F5</f>
        <v>407.98370891110795</v>
      </c>
      <c r="G7">
        <f t="shared" ref="G7:I7" si="0">$D$4*G5</f>
        <v>0</v>
      </c>
      <c r="H7">
        <f t="shared" si="0"/>
        <v>26916.218738301552</v>
      </c>
      <c r="I7">
        <f t="shared" si="0"/>
        <v>13525.38792110408</v>
      </c>
    </row>
    <row r="8" spans="1:10" x14ac:dyDescent="0.55000000000000004">
      <c r="A8" t="s">
        <v>10</v>
      </c>
      <c r="B8" t="s">
        <v>55</v>
      </c>
      <c r="C8" t="s">
        <v>45</v>
      </c>
      <c r="E8">
        <v>0.7</v>
      </c>
      <c r="F8">
        <v>0.7</v>
      </c>
      <c r="H8">
        <v>0.7</v>
      </c>
      <c r="I8">
        <v>0.7</v>
      </c>
    </row>
    <row r="9" spans="1:10" x14ac:dyDescent="0.55000000000000004">
      <c r="A9" t="s">
        <v>10</v>
      </c>
      <c r="B9" t="s">
        <v>55</v>
      </c>
      <c r="C9" t="s">
        <v>46</v>
      </c>
      <c r="E9" s="6">
        <v>22.5</v>
      </c>
      <c r="F9" s="6">
        <v>22.5</v>
      </c>
      <c r="G9" s="6">
        <v>22.5</v>
      </c>
      <c r="H9" s="6">
        <v>22.5</v>
      </c>
      <c r="I9" s="6">
        <v>22.5</v>
      </c>
    </row>
    <row r="10" spans="1:10" x14ac:dyDescent="0.55000000000000004">
      <c r="A10" t="s">
        <v>10</v>
      </c>
      <c r="B10" t="s">
        <v>55</v>
      </c>
      <c r="C10" t="s">
        <v>29</v>
      </c>
      <c r="E10" s="6">
        <f>E7/(E6*E8*E9)</f>
        <v>2.674019487181615</v>
      </c>
      <c r="F10" s="6">
        <f t="shared" ref="F10:I10" si="1">F7/(F6*F8*F9)</f>
        <v>0.1210454558407085</v>
      </c>
      <c r="G10" s="6" t="str">
        <f>IFERROR((G7/(G6*G8*G9)),"")</f>
        <v/>
      </c>
      <c r="H10" s="6">
        <f t="shared" si="1"/>
        <v>5.3405195909328471</v>
      </c>
      <c r="I10" s="6">
        <f t="shared" si="1"/>
        <v>2.2961357985067616</v>
      </c>
    </row>
    <row r="11" spans="1:10" x14ac:dyDescent="0.55000000000000004">
      <c r="A11" t="s">
        <v>10</v>
      </c>
      <c r="B11" t="s">
        <v>55</v>
      </c>
      <c r="C11" t="s">
        <v>31</v>
      </c>
      <c r="J11" s="6">
        <f>ROUNDUP(SUM(E10:I10),0)</f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4190-1589-435C-A840-2CBD03EED4FE}">
  <dimension ref="A1:J16"/>
  <sheetViews>
    <sheetView workbookViewId="0">
      <selection activeCell="F20" sqref="F20"/>
    </sheetView>
  </sheetViews>
  <sheetFormatPr defaultRowHeight="14.4" x14ac:dyDescent="0.55000000000000004"/>
  <cols>
    <col min="1" max="1" width="6.41796875" bestFit="1" customWidth="1"/>
    <col min="2" max="2" width="28.5234375" bestFit="1" customWidth="1"/>
    <col min="3" max="3" width="38.20703125" bestFit="1" customWidth="1"/>
    <col min="4" max="4" width="16" bestFit="1" customWidth="1"/>
    <col min="5" max="5" width="9.1015625" bestFit="1" customWidth="1"/>
    <col min="6" max="6" width="9.68359375" bestFit="1" customWidth="1"/>
    <col min="7" max="7" width="10.89453125" bestFit="1" customWidth="1"/>
    <col min="8" max="9" width="9.1015625" bestFit="1" customWidth="1"/>
    <col min="10" max="10" width="10.6835937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9</v>
      </c>
    </row>
    <row r="2" spans="1:10" x14ac:dyDescent="0.55000000000000004">
      <c r="A2" t="s">
        <v>10</v>
      </c>
      <c r="B2" t="s">
        <v>56</v>
      </c>
      <c r="C2" t="s">
        <v>12</v>
      </c>
      <c r="D2">
        <f>'WLL - JUKI - Normal'!E2</f>
        <v>15098.827163009601</v>
      </c>
    </row>
    <row r="3" spans="1:10" x14ac:dyDescent="0.55000000000000004">
      <c r="A3" t="s">
        <v>10</v>
      </c>
      <c r="B3" t="s">
        <v>56</v>
      </c>
      <c r="C3" t="s">
        <v>13</v>
      </c>
      <c r="D3">
        <v>4.88</v>
      </c>
    </row>
    <row r="4" spans="1:10" x14ac:dyDescent="0.55000000000000004">
      <c r="A4" t="s">
        <v>10</v>
      </c>
      <c r="B4" t="s">
        <v>56</v>
      </c>
      <c r="C4" t="s">
        <v>14</v>
      </c>
      <c r="D4">
        <f>'WLL - JUKI - Normal'!E3</f>
        <v>73650.130550000002</v>
      </c>
    </row>
    <row r="5" spans="1:10" x14ac:dyDescent="0.55000000000000004">
      <c r="A5" t="s">
        <v>10</v>
      </c>
      <c r="B5" t="s">
        <v>56</v>
      </c>
      <c r="C5" t="s">
        <v>15</v>
      </c>
      <c r="E5">
        <f>'WLL - JUKI - Normal'!E10</f>
        <v>0.223910473</v>
      </c>
      <c r="F5">
        <f>'WLL - JUKI - Normal'!E11</f>
        <v>1.0016381E-2</v>
      </c>
      <c r="G5">
        <f>'WLL - JUKI - Normal'!E12</f>
        <v>6.0668205000000003E-2</v>
      </c>
      <c r="H5">
        <f>'WLL - JUKI - Normal'!E13</f>
        <v>0.63578573000000005</v>
      </c>
      <c r="I5">
        <f>'WLL - JUKI - Normal'!E14</f>
        <v>6.9619211E-2</v>
      </c>
    </row>
    <row r="6" spans="1:10" x14ac:dyDescent="0.55000000000000004">
      <c r="A6" t="s">
        <v>10</v>
      </c>
      <c r="B6" t="s">
        <v>56</v>
      </c>
      <c r="C6" t="s">
        <v>38</v>
      </c>
      <c r="E6">
        <v>150</v>
      </c>
      <c r="F6">
        <v>87</v>
      </c>
      <c r="G6">
        <v>175</v>
      </c>
      <c r="H6">
        <v>82</v>
      </c>
      <c r="I6">
        <v>44</v>
      </c>
    </row>
    <row r="7" spans="1:10" x14ac:dyDescent="0.55000000000000004">
      <c r="A7" t="s">
        <v>10</v>
      </c>
      <c r="B7" t="s">
        <v>56</v>
      </c>
      <c r="C7" t="s">
        <v>39</v>
      </c>
      <c r="E7">
        <f>$D$4*E5</f>
        <v>16491.035567962252</v>
      </c>
      <c r="F7">
        <f>$D$4*F5</f>
        <v>737.70776828853957</v>
      </c>
      <c r="G7">
        <f>$D$4*G5</f>
        <v>4468.2212184841628</v>
      </c>
      <c r="H7">
        <f>$D$4*H5</f>
        <v>46825.702016327057</v>
      </c>
      <c r="I7">
        <f>$D$4*I5</f>
        <v>5127.4639789379962</v>
      </c>
    </row>
    <row r="8" spans="1:10" x14ac:dyDescent="0.55000000000000004">
      <c r="A8" t="s">
        <v>10</v>
      </c>
      <c r="B8" t="s">
        <v>56</v>
      </c>
      <c r="C8" t="s">
        <v>57</v>
      </c>
      <c r="E8">
        <v>28.8</v>
      </c>
      <c r="F8">
        <v>28.8</v>
      </c>
      <c r="G8">
        <v>32.4</v>
      </c>
      <c r="H8">
        <v>19.8</v>
      </c>
      <c r="I8">
        <v>16.2</v>
      </c>
    </row>
    <row r="9" spans="1:10" x14ac:dyDescent="0.55000000000000004">
      <c r="A9" t="s">
        <v>10</v>
      </c>
      <c r="B9" t="s">
        <v>56</v>
      </c>
      <c r="C9" t="s">
        <v>58</v>
      </c>
      <c r="E9" s="9">
        <f>E8*E7</f>
        <v>474941.82435731287</v>
      </c>
      <c r="F9" s="9">
        <f t="shared" ref="F9:I10" si="0">F8*F7</f>
        <v>21245.983726709939</v>
      </c>
      <c r="G9" s="9">
        <f t="shared" si="0"/>
        <v>144770.36747888688</v>
      </c>
      <c r="H9" s="9">
        <f t="shared" si="0"/>
        <v>927148.89992327581</v>
      </c>
      <c r="I9" s="9">
        <f t="shared" si="0"/>
        <v>83064.916458795531</v>
      </c>
    </row>
    <row r="10" spans="1:10" x14ac:dyDescent="0.55000000000000004">
      <c r="A10" t="s">
        <v>10</v>
      </c>
      <c r="B10" t="s">
        <v>56</v>
      </c>
      <c r="C10" t="s">
        <v>59</v>
      </c>
      <c r="E10" s="6">
        <f>22.5*60</f>
        <v>1350</v>
      </c>
      <c r="F10" s="9">
        <f t="shared" si="0"/>
        <v>611884.33132924628</v>
      </c>
      <c r="G10" s="6">
        <f t="shared" ref="G10:I10" si="1">22.5*60</f>
        <v>1350</v>
      </c>
      <c r="H10" s="6">
        <f t="shared" si="1"/>
        <v>1350</v>
      </c>
      <c r="I10" s="6">
        <f t="shared" si="1"/>
        <v>1350</v>
      </c>
    </row>
    <row r="11" spans="1:10" x14ac:dyDescent="0.55000000000000004">
      <c r="A11" t="s">
        <v>10</v>
      </c>
      <c r="B11" t="s">
        <v>56</v>
      </c>
      <c r="C11" t="s">
        <v>45</v>
      </c>
      <c r="E11" s="5">
        <v>0.7</v>
      </c>
      <c r="F11" s="5">
        <v>0.7</v>
      </c>
      <c r="G11" s="5">
        <v>0.7</v>
      </c>
      <c r="H11" s="5">
        <v>0.7</v>
      </c>
      <c r="I11" s="5">
        <v>0.7</v>
      </c>
    </row>
    <row r="12" spans="1:10" x14ac:dyDescent="0.55000000000000004">
      <c r="A12" t="s">
        <v>10</v>
      </c>
      <c r="B12" t="s">
        <v>56</v>
      </c>
      <c r="C12" t="s">
        <v>60</v>
      </c>
      <c r="E12" s="6">
        <f>E11*E10</f>
        <v>944.99999999999989</v>
      </c>
      <c r="F12" s="6">
        <f>E12</f>
        <v>944.99999999999989</v>
      </c>
      <c r="G12" s="6">
        <f>G11*G10</f>
        <v>944.99999999999989</v>
      </c>
      <c r="H12" s="6">
        <f>H11*H10</f>
        <v>944.99999999999989</v>
      </c>
      <c r="I12" s="6">
        <f>I11*I10</f>
        <v>944.99999999999989</v>
      </c>
    </row>
    <row r="13" spans="1:10" x14ac:dyDescent="0.55000000000000004">
      <c r="A13" t="s">
        <v>10</v>
      </c>
      <c r="B13" t="s">
        <v>56</v>
      </c>
      <c r="C13" t="s">
        <v>29</v>
      </c>
      <c r="E13" s="6">
        <f>E9/(E12*60)</f>
        <v>8.3763990186474953</v>
      </c>
      <c r="F13" s="6">
        <f>F9/(F12*60)</f>
        <v>0.3747087077021154</v>
      </c>
      <c r="G13" s="6">
        <f>G9/(G12*60)</f>
        <v>2.5532692677052364</v>
      </c>
      <c r="H13" s="6">
        <f>H9/(H12*60)</f>
        <v>16.35183245014596</v>
      </c>
      <c r="I13" s="6">
        <f>I9/(I12*60)</f>
        <v>1.464989708267999</v>
      </c>
    </row>
    <row r="14" spans="1:10" x14ac:dyDescent="0.55000000000000004">
      <c r="A14" t="s">
        <v>10</v>
      </c>
      <c r="B14" t="s">
        <v>56</v>
      </c>
      <c r="C14" t="s">
        <v>30</v>
      </c>
      <c r="J14" s="6">
        <f>SUM(E13:I13)</f>
        <v>29.121199152468805</v>
      </c>
    </row>
    <row r="15" spans="1:10" x14ac:dyDescent="0.55000000000000004">
      <c r="A15" t="s">
        <v>10</v>
      </c>
      <c r="B15" t="s">
        <v>56</v>
      </c>
      <c r="C15" t="s">
        <v>61</v>
      </c>
      <c r="J15" s="3">
        <f>J14*10%</f>
        <v>2.9121199152468806</v>
      </c>
    </row>
    <row r="16" spans="1:10" x14ac:dyDescent="0.55000000000000004">
      <c r="A16" t="s">
        <v>10</v>
      </c>
      <c r="B16" t="s">
        <v>56</v>
      </c>
      <c r="C16" t="s">
        <v>31</v>
      </c>
      <c r="J16" s="6">
        <f>ROUNDUP(SUM(J14:J15),0)</f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0C61-2426-4633-BD18-46F6E1A7F233}">
  <dimension ref="A1:J15"/>
  <sheetViews>
    <sheetView workbookViewId="0">
      <selection activeCell="E12" sqref="E12:F17"/>
    </sheetView>
  </sheetViews>
  <sheetFormatPr defaultRowHeight="14.4" x14ac:dyDescent="0.55000000000000004"/>
  <cols>
    <col min="1" max="1" width="6" customWidth="1"/>
    <col min="2" max="2" width="26.7890625" bestFit="1" customWidth="1"/>
    <col min="3" max="3" width="36.5234375" bestFit="1" customWidth="1"/>
    <col min="4" max="4" width="15.20703125" bestFit="1" customWidth="1"/>
    <col min="5" max="5" width="9.7890625" bestFit="1" customWidth="1"/>
    <col min="6" max="6" width="9.1015625" bestFit="1" customWidth="1"/>
    <col min="7" max="7" width="10.20703125" bestFit="1" customWidth="1"/>
    <col min="8" max="9" width="12" bestFit="1" customWidth="1"/>
    <col min="10" max="10" width="10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9</v>
      </c>
    </row>
    <row r="2" spans="1:10" x14ac:dyDescent="0.55000000000000004">
      <c r="A2" t="s">
        <v>10</v>
      </c>
      <c r="B2" t="s">
        <v>62</v>
      </c>
      <c r="C2" t="s">
        <v>12</v>
      </c>
      <c r="D2">
        <f>'WLL - JUKI - Critical'!E3</f>
        <v>18325</v>
      </c>
    </row>
    <row r="3" spans="1:10" x14ac:dyDescent="0.55000000000000004">
      <c r="A3" t="s">
        <v>10</v>
      </c>
      <c r="B3" t="s">
        <v>62</v>
      </c>
      <c r="C3" t="s">
        <v>13</v>
      </c>
      <c r="D3">
        <f>D4/D2</f>
        <v>2.7368790346521146</v>
      </c>
    </row>
    <row r="4" spans="1:10" x14ac:dyDescent="0.55000000000000004">
      <c r="A4" t="s">
        <v>10</v>
      </c>
      <c r="B4" t="s">
        <v>62</v>
      </c>
      <c r="C4" t="s">
        <v>14</v>
      </c>
      <c r="D4">
        <f>'WLL - JUKI - Critical'!E2</f>
        <v>50153.30831</v>
      </c>
    </row>
    <row r="5" spans="1:10" x14ac:dyDescent="0.55000000000000004">
      <c r="A5" t="s">
        <v>10</v>
      </c>
      <c r="B5" t="s">
        <v>62</v>
      </c>
      <c r="C5" t="s">
        <v>15</v>
      </c>
      <c r="E5">
        <f>'WLL - JUKI - Critical'!E10</f>
        <v>0.61663256799999999</v>
      </c>
      <c r="F5">
        <f>'WLL - JUKI - Critical'!E11</f>
        <v>0</v>
      </c>
      <c r="G5">
        <f>'WLL - JUKI - Critical'!E12</f>
        <v>6.7448881000000002E-2</v>
      </c>
      <c r="H5">
        <f>'WLL - JUKI - Critical'!E13</f>
        <v>8.8795078999999999E-2</v>
      </c>
      <c r="I5">
        <f>'WLL - JUKI - Critical'!E14</f>
        <v>0.22712347199999999</v>
      </c>
    </row>
    <row r="6" spans="1:10" x14ac:dyDescent="0.55000000000000004">
      <c r="A6" t="s">
        <v>10</v>
      </c>
      <c r="B6" t="s">
        <v>62</v>
      </c>
      <c r="C6" t="s">
        <v>39</v>
      </c>
      <c r="E6">
        <f>$D$4*E5</f>
        <v>30926.163296891042</v>
      </c>
      <c r="F6">
        <f t="shared" ref="F6:I6" si="0">$D$4*F5</f>
        <v>0</v>
      </c>
      <c r="G6">
        <f t="shared" si="0"/>
        <v>3382.7845239575013</v>
      </c>
      <c r="H6">
        <f t="shared" si="0"/>
        <v>4453.3669734978066</v>
      </c>
      <c r="I6">
        <f t="shared" si="0"/>
        <v>11390.993515653652</v>
      </c>
    </row>
    <row r="7" spans="1:10" x14ac:dyDescent="0.55000000000000004">
      <c r="A7" t="s">
        <v>10</v>
      </c>
      <c r="B7" t="s">
        <v>62</v>
      </c>
      <c r="C7" t="s">
        <v>57</v>
      </c>
      <c r="E7">
        <v>33.770000000000003</v>
      </c>
      <c r="F7">
        <v>30.12</v>
      </c>
      <c r="G7">
        <v>41.5</v>
      </c>
      <c r="H7">
        <v>27.7</v>
      </c>
      <c r="I7">
        <v>26.09</v>
      </c>
    </row>
    <row r="8" spans="1:10" x14ac:dyDescent="0.55000000000000004">
      <c r="A8" t="s">
        <v>10</v>
      </c>
      <c r="B8" t="s">
        <v>62</v>
      </c>
      <c r="C8" t="s">
        <v>58</v>
      </c>
      <c r="E8" s="9">
        <f>E7*E6</f>
        <v>1044376.5345360106</v>
      </c>
      <c r="F8" s="9">
        <f t="shared" ref="F8:I8" si="1">F7*F6</f>
        <v>0</v>
      </c>
      <c r="G8" s="9">
        <f t="shared" si="1"/>
        <v>140385.55774423631</v>
      </c>
      <c r="H8" s="9">
        <f t="shared" si="1"/>
        <v>123358.26516588924</v>
      </c>
      <c r="I8" s="9">
        <f t="shared" si="1"/>
        <v>297191.02082340379</v>
      </c>
    </row>
    <row r="9" spans="1:10" x14ac:dyDescent="0.55000000000000004">
      <c r="A9" t="s">
        <v>10</v>
      </c>
      <c r="B9" t="s">
        <v>62</v>
      </c>
      <c r="C9" t="s">
        <v>59</v>
      </c>
      <c r="E9" s="6">
        <f>22.5*60</f>
        <v>1350</v>
      </c>
      <c r="F9" s="6">
        <f t="shared" ref="F9:I9" si="2">22.5*60</f>
        <v>1350</v>
      </c>
      <c r="G9" s="6">
        <f t="shared" si="2"/>
        <v>1350</v>
      </c>
      <c r="H9" s="6">
        <f t="shared" si="2"/>
        <v>1350</v>
      </c>
      <c r="I9" s="6">
        <f t="shared" si="2"/>
        <v>1350</v>
      </c>
    </row>
    <row r="10" spans="1:10" x14ac:dyDescent="0.55000000000000004">
      <c r="A10" t="s">
        <v>10</v>
      </c>
      <c r="B10" t="s">
        <v>62</v>
      </c>
      <c r="C10" t="s">
        <v>45</v>
      </c>
      <c r="E10" s="5">
        <v>0.65</v>
      </c>
      <c r="F10" s="5">
        <v>0.65</v>
      </c>
      <c r="G10" s="5">
        <v>0.65</v>
      </c>
      <c r="H10" s="5">
        <v>0.65</v>
      </c>
      <c r="I10" s="5">
        <v>0.65</v>
      </c>
    </row>
    <row r="11" spans="1:10" x14ac:dyDescent="0.55000000000000004">
      <c r="A11" t="s">
        <v>10</v>
      </c>
      <c r="B11" t="s">
        <v>62</v>
      </c>
      <c r="C11" t="s">
        <v>60</v>
      </c>
      <c r="E11" s="6">
        <f>E10*E9</f>
        <v>877.5</v>
      </c>
      <c r="F11" s="6">
        <f t="shared" ref="F11:I11" si="3">F10*F9</f>
        <v>877.5</v>
      </c>
      <c r="G11" s="6">
        <f t="shared" si="3"/>
        <v>877.5</v>
      </c>
      <c r="H11" s="6">
        <f t="shared" si="3"/>
        <v>877.5</v>
      </c>
      <c r="I11" s="6">
        <f t="shared" si="3"/>
        <v>877.5</v>
      </c>
    </row>
    <row r="12" spans="1:10" x14ac:dyDescent="0.55000000000000004">
      <c r="A12" t="s">
        <v>10</v>
      </c>
      <c r="B12" t="s">
        <v>62</v>
      </c>
      <c r="C12" t="s">
        <v>29</v>
      </c>
      <c r="E12" s="6">
        <f>E8/(E11*60)</f>
        <v>19.836211482165442</v>
      </c>
      <c r="F12" s="6">
        <f t="shared" ref="F12:I12" si="4">F8/(F11*60)</f>
        <v>0</v>
      </c>
      <c r="G12" s="6">
        <f t="shared" si="4"/>
        <v>2.6663923598145547</v>
      </c>
      <c r="H12" s="6">
        <f t="shared" si="4"/>
        <v>2.3429869927044491</v>
      </c>
      <c r="I12" s="6">
        <f t="shared" si="4"/>
        <v>5.6446537668262824</v>
      </c>
    </row>
    <row r="13" spans="1:10" x14ac:dyDescent="0.55000000000000004">
      <c r="A13" t="s">
        <v>10</v>
      </c>
      <c r="B13" t="s">
        <v>62</v>
      </c>
      <c r="C13" t="s">
        <v>30</v>
      </c>
      <c r="J13" s="6">
        <f>SUM(E12:I12)</f>
        <v>30.490244601510732</v>
      </c>
    </row>
    <row r="14" spans="1:10" x14ac:dyDescent="0.55000000000000004">
      <c r="A14" t="s">
        <v>10</v>
      </c>
      <c r="B14" t="s">
        <v>62</v>
      </c>
      <c r="C14" t="s">
        <v>61</v>
      </c>
      <c r="J14" s="3">
        <f>J13*10%</f>
        <v>3.0490244601510734</v>
      </c>
    </row>
    <row r="15" spans="1:10" x14ac:dyDescent="0.55000000000000004">
      <c r="A15" t="s">
        <v>10</v>
      </c>
      <c r="B15" t="s">
        <v>62</v>
      </c>
      <c r="C15" t="s">
        <v>31</v>
      </c>
      <c r="J15" s="6">
        <f>ROUNDUP(SUM(J13:J14),0)</f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2858-A99D-4B7C-8B50-F4593B2785ED}">
  <dimension ref="A1:J14"/>
  <sheetViews>
    <sheetView workbookViewId="0">
      <selection activeCell="E13" sqref="E13"/>
    </sheetView>
  </sheetViews>
  <sheetFormatPr defaultRowHeight="14.4" x14ac:dyDescent="0.55000000000000004"/>
  <cols>
    <col min="1" max="1" width="6" bestFit="1" customWidth="1"/>
    <col min="2" max="2" width="30.3125" bestFit="1" customWidth="1"/>
    <col min="3" max="3" width="20.1015625" bestFit="1" customWidth="1"/>
    <col min="4" max="4" width="15.20703125" bestFit="1" customWidth="1"/>
    <col min="5" max="9" width="11.68359375" bestFit="1" customWidth="1"/>
    <col min="10" max="10" width="10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9</v>
      </c>
    </row>
    <row r="2" spans="1:10" x14ac:dyDescent="0.55000000000000004">
      <c r="A2" t="s">
        <v>10</v>
      </c>
      <c r="B2" t="s">
        <v>63</v>
      </c>
      <c r="C2" t="s">
        <v>12</v>
      </c>
      <c r="D2">
        <f>('WLL Overall'!E5+'WLL Overall'!E7+'WLL Overall'!E9)</f>
        <v>43424.037964429001</v>
      </c>
    </row>
    <row r="3" spans="1:10" x14ac:dyDescent="0.55000000000000004">
      <c r="A3" t="s">
        <v>10</v>
      </c>
      <c r="B3" t="s">
        <v>63</v>
      </c>
      <c r="C3" t="s">
        <v>13</v>
      </c>
      <c r="D3">
        <v>4</v>
      </c>
    </row>
    <row r="4" spans="1:10" x14ac:dyDescent="0.55000000000000004">
      <c r="A4" t="s">
        <v>10</v>
      </c>
      <c r="B4" t="s">
        <v>63</v>
      </c>
      <c r="C4" t="s">
        <v>14</v>
      </c>
      <c r="D4">
        <f>('WLL Overall'!E4+'WLL Overall'!E6+'WLL Overall'!E8)</f>
        <v>173665.81186298589</v>
      </c>
    </row>
    <row r="5" spans="1:10" x14ac:dyDescent="0.55000000000000004">
      <c r="A5" t="s">
        <v>10</v>
      </c>
      <c r="B5" t="s">
        <v>63</v>
      </c>
      <c r="C5" t="s">
        <v>15</v>
      </c>
      <c r="E5">
        <v>0.21579999999999999</v>
      </c>
      <c r="F5">
        <v>5.0000000000000001E-3</v>
      </c>
      <c r="G5">
        <v>3.0499999999999999E-2</v>
      </c>
      <c r="H5">
        <v>0.3392</v>
      </c>
      <c r="I5">
        <v>0.12239999999999999</v>
      </c>
    </row>
    <row r="6" spans="1:10" x14ac:dyDescent="0.55000000000000004">
      <c r="A6" t="s">
        <v>10</v>
      </c>
      <c r="B6" t="s">
        <v>63</v>
      </c>
      <c r="C6" t="s">
        <v>16</v>
      </c>
      <c r="E6">
        <f>$D$4*E5</f>
        <v>37477.082200032353</v>
      </c>
      <c r="F6">
        <f>$D$4*F5</f>
        <v>868.32905931492951</v>
      </c>
      <c r="G6">
        <f>$D$4*G5</f>
        <v>5296.8072618210699</v>
      </c>
      <c r="H6">
        <f>$D$4*H5</f>
        <v>58907.443383924816</v>
      </c>
      <c r="I6">
        <f>$D$4*I5</f>
        <v>21256.695372029473</v>
      </c>
    </row>
    <row r="7" spans="1:10" x14ac:dyDescent="0.55000000000000004">
      <c r="A7" t="s">
        <v>10</v>
      </c>
      <c r="B7" t="s">
        <v>63</v>
      </c>
      <c r="C7" t="s">
        <v>47</v>
      </c>
      <c r="E7">
        <v>0.01</v>
      </c>
      <c r="F7">
        <v>0.01</v>
      </c>
      <c r="G7">
        <v>0.01</v>
      </c>
      <c r="H7">
        <v>0.01</v>
      </c>
      <c r="I7">
        <v>0.01</v>
      </c>
    </row>
    <row r="8" spans="1:10" x14ac:dyDescent="0.55000000000000004">
      <c r="A8" t="s">
        <v>10</v>
      </c>
      <c r="B8" t="s">
        <v>63</v>
      </c>
      <c r="C8" t="s">
        <v>39</v>
      </c>
      <c r="E8">
        <f>E6*E7</f>
        <v>374.77082200032356</v>
      </c>
      <c r="F8">
        <f t="shared" ref="F8:I8" si="0">F6*F7</f>
        <v>8.6832905931492945</v>
      </c>
      <c r="G8">
        <f t="shared" si="0"/>
        <v>52.968072618210698</v>
      </c>
      <c r="H8">
        <f t="shared" si="0"/>
        <v>589.07443383924817</v>
      </c>
      <c r="I8">
        <f t="shared" si="0"/>
        <v>212.56695372029475</v>
      </c>
    </row>
    <row r="9" spans="1:10" x14ac:dyDescent="0.55000000000000004">
      <c r="A9" t="s">
        <v>10</v>
      </c>
      <c r="B9" t="s">
        <v>63</v>
      </c>
      <c r="C9" t="s">
        <v>48</v>
      </c>
      <c r="E9">
        <v>1.1875</v>
      </c>
      <c r="F9">
        <v>1.1875</v>
      </c>
      <c r="G9">
        <v>1.1875</v>
      </c>
      <c r="H9">
        <v>1.0640000000000001</v>
      </c>
      <c r="I9">
        <v>0.66974999999999996</v>
      </c>
    </row>
    <row r="10" spans="1:10" x14ac:dyDescent="0.55000000000000004">
      <c r="A10" t="s">
        <v>10</v>
      </c>
      <c r="B10" t="s">
        <v>63</v>
      </c>
      <c r="C10" t="s">
        <v>49</v>
      </c>
      <c r="E10" s="4">
        <f>(450/E9)</f>
        <v>378.94736842105266</v>
      </c>
      <c r="F10" s="4">
        <f t="shared" ref="F10:I10" si="1">(450/F9)</f>
        <v>378.94736842105266</v>
      </c>
      <c r="G10" s="4">
        <f t="shared" si="1"/>
        <v>378.94736842105266</v>
      </c>
      <c r="H10" s="4">
        <f t="shared" si="1"/>
        <v>422.93233082706763</v>
      </c>
      <c r="I10" s="4">
        <f t="shared" si="1"/>
        <v>671.89249720044802</v>
      </c>
    </row>
    <row r="11" spans="1:10" x14ac:dyDescent="0.55000000000000004">
      <c r="A11" t="s">
        <v>10</v>
      </c>
      <c r="B11" t="s">
        <v>63</v>
      </c>
      <c r="C11" t="s">
        <v>45</v>
      </c>
      <c r="E11" s="5">
        <v>0.65</v>
      </c>
      <c r="F11" s="5">
        <v>0.65</v>
      </c>
      <c r="G11" s="5">
        <v>0.65</v>
      </c>
      <c r="H11" s="5">
        <v>0.65</v>
      </c>
      <c r="I11" s="5">
        <v>0.65</v>
      </c>
    </row>
    <row r="12" spans="1:10" x14ac:dyDescent="0.55000000000000004">
      <c r="A12" t="s">
        <v>10</v>
      </c>
      <c r="B12" t="s">
        <v>63</v>
      </c>
      <c r="C12" t="s">
        <v>50</v>
      </c>
      <c r="E12" s="8">
        <f>E10*E11</f>
        <v>246.31578947368425</v>
      </c>
      <c r="F12" s="8">
        <f t="shared" ref="F12:I12" si="2">F10*F11</f>
        <v>246.31578947368425</v>
      </c>
      <c r="G12" s="8">
        <f t="shared" si="2"/>
        <v>246.31578947368425</v>
      </c>
      <c r="H12" s="8">
        <f t="shared" si="2"/>
        <v>274.90601503759399</v>
      </c>
      <c r="I12" s="8">
        <f t="shared" si="2"/>
        <v>436.73012318029123</v>
      </c>
    </row>
    <row r="13" spans="1:10" x14ac:dyDescent="0.55000000000000004">
      <c r="A13" t="s">
        <v>10</v>
      </c>
      <c r="B13" t="s">
        <v>63</v>
      </c>
      <c r="C13" t="s">
        <v>29</v>
      </c>
      <c r="E13" s="6">
        <f>E8/E12</f>
        <v>1.5215054739329372</v>
      </c>
      <c r="F13" s="6">
        <f t="shared" ref="F13:I13" si="3">F8/F12</f>
        <v>3.5252675485007816E-2</v>
      </c>
      <c r="G13" s="6">
        <f t="shared" si="3"/>
        <v>0.21504132045854768</v>
      </c>
      <c r="H13" s="6">
        <f t="shared" si="3"/>
        <v>2.1428211883930257</v>
      </c>
      <c r="I13" s="6">
        <f t="shared" si="3"/>
        <v>0.48672381967236711</v>
      </c>
    </row>
    <row r="14" spans="1:10" x14ac:dyDescent="0.55000000000000004">
      <c r="A14" t="s">
        <v>10</v>
      </c>
      <c r="B14" t="s">
        <v>63</v>
      </c>
      <c r="C14" t="s">
        <v>31</v>
      </c>
      <c r="J14" s="6">
        <f>ROUNDUP(SUM(E13:I13),0)</f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162A-4CC6-43AB-AFFD-61AF0BFAC9C3}">
  <dimension ref="A1:F28"/>
  <sheetViews>
    <sheetView topLeftCell="A4" workbookViewId="0">
      <selection sqref="A1:XFD1048576"/>
    </sheetView>
  </sheetViews>
  <sheetFormatPr defaultRowHeight="14.4" x14ac:dyDescent="0.55000000000000004"/>
  <cols>
    <col min="1" max="1" width="6.41796875" bestFit="1" customWidth="1"/>
    <col min="2" max="2" width="15.89453125" bestFit="1" customWidth="1"/>
    <col min="3" max="3" width="8.89453125" bestFit="1" customWidth="1"/>
    <col min="4" max="4" width="17.5234375" bestFit="1" customWidth="1"/>
    <col min="5" max="5" width="14.5234375" bestFit="1" customWidth="1"/>
    <col min="6" max="6" width="15.41796875" bestFit="1" customWidth="1"/>
    <col min="7" max="7" width="11.68359375" bestFit="1" customWidth="1"/>
    <col min="8" max="8" width="17.3125" bestFit="1" customWidth="1"/>
  </cols>
  <sheetData>
    <row r="1" spans="1:6" x14ac:dyDescent="0.55000000000000004">
      <c r="A1" t="s">
        <v>0</v>
      </c>
      <c r="B1" t="s">
        <v>74</v>
      </c>
      <c r="C1" t="s">
        <v>2</v>
      </c>
      <c r="D1" t="s">
        <v>75</v>
      </c>
      <c r="E1" t="s">
        <v>42</v>
      </c>
      <c r="F1" t="s">
        <v>76</v>
      </c>
    </row>
    <row r="2" spans="1:6" x14ac:dyDescent="0.55000000000000004">
      <c r="A2" t="s">
        <v>10</v>
      </c>
      <c r="B2" t="s">
        <v>64</v>
      </c>
      <c r="C2" t="s">
        <v>71</v>
      </c>
      <c r="D2" t="s">
        <v>65</v>
      </c>
      <c r="E2" s="10">
        <v>431018.65134561498</v>
      </c>
      <c r="F2" t="s">
        <v>77</v>
      </c>
    </row>
    <row r="3" spans="1:6" x14ac:dyDescent="0.55000000000000004">
      <c r="A3" t="s">
        <v>10</v>
      </c>
      <c r="B3" t="s">
        <v>64</v>
      </c>
      <c r="C3" t="s">
        <v>78</v>
      </c>
      <c r="D3" t="s">
        <v>65</v>
      </c>
      <c r="E3" s="10">
        <v>106860.043065563</v>
      </c>
      <c r="F3" t="s">
        <v>77</v>
      </c>
    </row>
    <row r="4" spans="1:6" x14ac:dyDescent="0.55000000000000004">
      <c r="A4" t="s">
        <v>10</v>
      </c>
      <c r="B4" t="s">
        <v>64</v>
      </c>
      <c r="C4" t="s">
        <v>71</v>
      </c>
      <c r="D4" t="s">
        <v>66</v>
      </c>
      <c r="E4" s="10">
        <v>49862.373003232497</v>
      </c>
      <c r="F4" t="s">
        <v>77</v>
      </c>
    </row>
    <row r="5" spans="1:6" x14ac:dyDescent="0.55000000000000004">
      <c r="A5" t="s">
        <v>10</v>
      </c>
      <c r="B5" t="s">
        <v>64</v>
      </c>
      <c r="C5" t="s">
        <v>78</v>
      </c>
      <c r="D5" t="s">
        <v>66</v>
      </c>
      <c r="E5" s="10">
        <v>10000</v>
      </c>
      <c r="F5" t="s">
        <v>77</v>
      </c>
    </row>
    <row r="6" spans="1:6" x14ac:dyDescent="0.55000000000000004">
      <c r="A6" t="s">
        <v>10</v>
      </c>
      <c r="B6" t="s">
        <v>64</v>
      </c>
      <c r="C6" t="s">
        <v>71</v>
      </c>
      <c r="D6" t="s">
        <v>79</v>
      </c>
      <c r="E6" s="10">
        <v>50153.308313187699</v>
      </c>
      <c r="F6" t="s">
        <v>77</v>
      </c>
    </row>
    <row r="7" spans="1:6" x14ac:dyDescent="0.55000000000000004">
      <c r="A7" t="s">
        <v>10</v>
      </c>
      <c r="B7" t="s">
        <v>64</v>
      </c>
      <c r="C7" t="s">
        <v>78</v>
      </c>
      <c r="D7" t="s">
        <v>79</v>
      </c>
      <c r="E7" s="10">
        <v>18325.210801419398</v>
      </c>
      <c r="F7" t="s">
        <v>77</v>
      </c>
    </row>
    <row r="8" spans="1:6" x14ac:dyDescent="0.55000000000000004">
      <c r="A8" t="s">
        <v>10</v>
      </c>
      <c r="B8" t="s">
        <v>64</v>
      </c>
      <c r="C8" t="s">
        <v>71</v>
      </c>
      <c r="D8" t="s">
        <v>67</v>
      </c>
      <c r="E8" s="10">
        <v>73650.130546565706</v>
      </c>
      <c r="F8" t="s">
        <v>77</v>
      </c>
    </row>
    <row r="9" spans="1:6" x14ac:dyDescent="0.55000000000000004">
      <c r="A9" t="s">
        <v>10</v>
      </c>
      <c r="B9" t="s">
        <v>64</v>
      </c>
      <c r="C9" t="s">
        <v>78</v>
      </c>
      <c r="D9" t="s">
        <v>67</v>
      </c>
      <c r="E9" s="10">
        <v>15098.827163009601</v>
      </c>
      <c r="F9" t="s">
        <v>77</v>
      </c>
    </row>
    <row r="10" spans="1:6" x14ac:dyDescent="0.55000000000000004">
      <c r="A10" t="s">
        <v>10</v>
      </c>
      <c r="B10" t="s">
        <v>64</v>
      </c>
      <c r="C10" t="s">
        <v>71</v>
      </c>
      <c r="D10" t="s">
        <v>68</v>
      </c>
      <c r="E10" s="10">
        <f>SUM(E2,E4,E6,E8)</f>
        <v>604684.46320860088</v>
      </c>
      <c r="F10" t="s">
        <v>80</v>
      </c>
    </row>
    <row r="11" spans="1:6" x14ac:dyDescent="0.55000000000000004">
      <c r="A11" t="s">
        <v>10</v>
      </c>
      <c r="B11" t="s">
        <v>64</v>
      </c>
      <c r="C11" t="s">
        <v>78</v>
      </c>
      <c r="D11" t="s">
        <v>68</v>
      </c>
      <c r="E11" s="10">
        <f>SUM(E3,E5,E7,E9)</f>
        <v>150284.08102999203</v>
      </c>
      <c r="F11" t="s">
        <v>81</v>
      </c>
    </row>
    <row r="12" spans="1:6" x14ac:dyDescent="0.55000000000000004">
      <c r="A12" t="s">
        <v>10</v>
      </c>
      <c r="B12" t="s">
        <v>82</v>
      </c>
      <c r="C12" t="s">
        <v>83</v>
      </c>
      <c r="D12" t="s">
        <v>32</v>
      </c>
      <c r="E12" s="10">
        <v>0.26153606600919099</v>
      </c>
      <c r="F12" t="s">
        <v>77</v>
      </c>
    </row>
    <row r="13" spans="1:6" x14ac:dyDescent="0.55000000000000004">
      <c r="A13" t="s">
        <v>10</v>
      </c>
      <c r="B13" t="s">
        <v>82</v>
      </c>
      <c r="C13" t="s">
        <v>83</v>
      </c>
      <c r="D13" t="s">
        <v>69</v>
      </c>
      <c r="E13" s="10">
        <v>5.9467543785236701E-3</v>
      </c>
      <c r="F13" t="s">
        <v>77</v>
      </c>
    </row>
    <row r="14" spans="1:6" x14ac:dyDescent="0.55000000000000004">
      <c r="A14" t="s">
        <v>10</v>
      </c>
      <c r="B14" t="s">
        <v>82</v>
      </c>
      <c r="C14" t="s">
        <v>83</v>
      </c>
      <c r="D14" t="s">
        <v>70</v>
      </c>
      <c r="E14" s="10">
        <v>3.3051915587619003E-2</v>
      </c>
      <c r="F14" t="s">
        <v>77</v>
      </c>
    </row>
    <row r="15" spans="1:6" x14ac:dyDescent="0.55000000000000004">
      <c r="A15" t="s">
        <v>10</v>
      </c>
      <c r="B15" t="s">
        <v>82</v>
      </c>
      <c r="C15" t="s">
        <v>83</v>
      </c>
      <c r="D15" t="s">
        <v>35</v>
      </c>
      <c r="E15" s="10">
        <v>0.33745929357442001</v>
      </c>
      <c r="F15" t="s">
        <v>77</v>
      </c>
    </row>
    <row r="16" spans="1:6" x14ac:dyDescent="0.55000000000000004">
      <c r="A16" t="s">
        <v>10</v>
      </c>
      <c r="B16" t="s">
        <v>82</v>
      </c>
      <c r="C16" t="s">
        <v>83</v>
      </c>
      <c r="D16" t="s">
        <v>36</v>
      </c>
      <c r="E16" s="10">
        <v>0.36200597045024702</v>
      </c>
      <c r="F16" t="s">
        <v>77</v>
      </c>
    </row>
    <row r="17" spans="1:6" x14ac:dyDescent="0.55000000000000004">
      <c r="A17" t="s">
        <v>10</v>
      </c>
      <c r="B17" t="s">
        <v>82</v>
      </c>
      <c r="C17" t="s">
        <v>83</v>
      </c>
      <c r="D17" t="s">
        <v>68</v>
      </c>
      <c r="E17" s="10">
        <f>SUM(E12:E16)</f>
        <v>1.0000000000000007</v>
      </c>
      <c r="F17" t="s">
        <v>84</v>
      </c>
    </row>
    <row r="18" spans="1:6" x14ac:dyDescent="0.55000000000000004">
      <c r="A18" t="s">
        <v>10</v>
      </c>
      <c r="B18" t="s">
        <v>85</v>
      </c>
      <c r="C18" t="s">
        <v>71</v>
      </c>
      <c r="D18" t="s">
        <v>32</v>
      </c>
      <c r="E18" s="10">
        <f>E10*E12</f>
        <v>158146.79568445685</v>
      </c>
      <c r="F18" t="s">
        <v>86</v>
      </c>
    </row>
    <row r="19" spans="1:6" x14ac:dyDescent="0.55000000000000004">
      <c r="A19" t="s">
        <v>10</v>
      </c>
      <c r="B19" t="s">
        <v>85</v>
      </c>
      <c r="C19" t="s">
        <v>71</v>
      </c>
      <c r="D19" t="s">
        <v>69</v>
      </c>
      <c r="E19" s="10">
        <f>E10*E13</f>
        <v>3595.9099792109823</v>
      </c>
      <c r="F19" t="s">
        <v>87</v>
      </c>
    </row>
    <row r="20" spans="1:6" x14ac:dyDescent="0.55000000000000004">
      <c r="A20" t="s">
        <v>10</v>
      </c>
      <c r="B20" t="s">
        <v>85</v>
      </c>
      <c r="C20" t="s">
        <v>71</v>
      </c>
      <c r="D20" t="s">
        <v>70</v>
      </c>
      <c r="E20" s="10">
        <f>E10*E14</f>
        <v>19985.979835115384</v>
      </c>
      <c r="F20" t="s">
        <v>88</v>
      </c>
    </row>
    <row r="21" spans="1:6" x14ac:dyDescent="0.55000000000000004">
      <c r="A21" t="s">
        <v>10</v>
      </c>
      <c r="B21" t="s">
        <v>85</v>
      </c>
      <c r="C21" t="s">
        <v>71</v>
      </c>
      <c r="D21" t="s">
        <v>35</v>
      </c>
      <c r="E21" s="10">
        <f>E10*E15</f>
        <v>204056.39178980183</v>
      </c>
      <c r="F21" t="s">
        <v>89</v>
      </c>
    </row>
    <row r="22" spans="1:6" x14ac:dyDescent="0.55000000000000004">
      <c r="A22" t="s">
        <v>10</v>
      </c>
      <c r="B22" t="s">
        <v>85</v>
      </c>
      <c r="C22" t="s">
        <v>71</v>
      </c>
      <c r="D22" t="s">
        <v>36</v>
      </c>
      <c r="E22" s="10">
        <f>E10*E16</f>
        <v>218899.38592001624</v>
      </c>
      <c r="F22" t="s">
        <v>90</v>
      </c>
    </row>
    <row r="23" spans="1:6" x14ac:dyDescent="0.55000000000000004">
      <c r="A23" t="s">
        <v>10</v>
      </c>
      <c r="B23" t="s">
        <v>85</v>
      </c>
      <c r="C23" t="s">
        <v>71</v>
      </c>
      <c r="D23" t="s">
        <v>68</v>
      </c>
      <c r="E23" s="10">
        <f>E10*E17</f>
        <v>604684.46320860123</v>
      </c>
      <c r="F23" t="s">
        <v>91</v>
      </c>
    </row>
    <row r="24" spans="1:6" x14ac:dyDescent="0.55000000000000004">
      <c r="A24" t="s">
        <v>10</v>
      </c>
      <c r="B24" t="s">
        <v>72</v>
      </c>
      <c r="C24" t="s">
        <v>13</v>
      </c>
      <c r="D24" t="s">
        <v>73</v>
      </c>
      <c r="E24" s="10">
        <f>E2/E3</f>
        <v>4.0334875317350134</v>
      </c>
      <c r="F24" t="s">
        <v>92</v>
      </c>
    </row>
    <row r="25" spans="1:6" x14ac:dyDescent="0.55000000000000004">
      <c r="A25" t="s">
        <v>10</v>
      </c>
      <c r="B25" t="s">
        <v>72</v>
      </c>
      <c r="C25" t="s">
        <v>13</v>
      </c>
      <c r="D25" t="s">
        <v>66</v>
      </c>
      <c r="E25" s="10">
        <f>E4/E5</f>
        <v>4.9862373003232499</v>
      </c>
      <c r="F25" t="s">
        <v>93</v>
      </c>
    </row>
    <row r="26" spans="1:6" x14ac:dyDescent="0.55000000000000004">
      <c r="A26" t="s">
        <v>10</v>
      </c>
      <c r="B26" t="s">
        <v>72</v>
      </c>
      <c r="C26" t="s">
        <v>13</v>
      </c>
      <c r="D26" t="s">
        <v>79</v>
      </c>
      <c r="E26" s="10">
        <f>E6/E7</f>
        <v>2.7368475515328328</v>
      </c>
      <c r="F26" t="s">
        <v>94</v>
      </c>
    </row>
    <row r="27" spans="1:6" x14ac:dyDescent="0.55000000000000004">
      <c r="A27" t="s">
        <v>10</v>
      </c>
      <c r="B27" t="s">
        <v>72</v>
      </c>
      <c r="C27" t="s">
        <v>13</v>
      </c>
      <c r="D27" t="s">
        <v>67</v>
      </c>
      <c r="E27" s="10">
        <f>E8/E9</f>
        <v>4.877870959871645</v>
      </c>
      <c r="F27" t="s">
        <v>95</v>
      </c>
    </row>
    <row r="28" spans="1:6" x14ac:dyDescent="0.55000000000000004">
      <c r="A28" t="s">
        <v>10</v>
      </c>
      <c r="B28" t="s">
        <v>72</v>
      </c>
      <c r="C28" t="s">
        <v>13</v>
      </c>
      <c r="D28" t="s">
        <v>68</v>
      </c>
      <c r="E28" s="10">
        <f>E10/E11</f>
        <v>4.0236095470945097</v>
      </c>
      <c r="F28" t="s">
        <v>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A64B-5C98-43CC-A41D-13B5C5757E4D}">
  <dimension ref="A1:F15"/>
  <sheetViews>
    <sheetView workbookViewId="0">
      <selection activeCell="E10" sqref="E10"/>
    </sheetView>
  </sheetViews>
  <sheetFormatPr defaultRowHeight="14.4" x14ac:dyDescent="0.55000000000000004"/>
  <cols>
    <col min="1" max="1" width="6.41796875" bestFit="1" customWidth="1"/>
    <col min="2" max="2" width="16.41796875" bestFit="1" customWidth="1"/>
    <col min="3" max="3" width="8.89453125" bestFit="1" customWidth="1"/>
    <col min="4" max="4" width="10.5234375" bestFit="1" customWidth="1"/>
    <col min="5" max="5" width="12" bestFit="1" customWidth="1"/>
    <col min="6" max="6" width="15.7890625" bestFit="1" customWidth="1"/>
  </cols>
  <sheetData>
    <row r="1" spans="1:6" x14ac:dyDescent="0.55000000000000004">
      <c r="A1" t="s">
        <v>0</v>
      </c>
      <c r="B1" t="s">
        <v>74</v>
      </c>
      <c r="C1" t="s">
        <v>2</v>
      </c>
      <c r="D1" t="s">
        <v>75</v>
      </c>
      <c r="E1" t="s">
        <v>42</v>
      </c>
      <c r="F1" t="s">
        <v>76</v>
      </c>
    </row>
    <row r="2" spans="1:6" x14ac:dyDescent="0.55000000000000004">
      <c r="A2" t="s">
        <v>10</v>
      </c>
      <c r="B2" t="s">
        <v>97</v>
      </c>
      <c r="C2" t="s">
        <v>71</v>
      </c>
      <c r="D2" t="s">
        <v>65</v>
      </c>
      <c r="E2">
        <v>431018.65130000003</v>
      </c>
      <c r="F2" t="s">
        <v>99</v>
      </c>
    </row>
    <row r="3" spans="1:6" x14ac:dyDescent="0.55000000000000004">
      <c r="A3" t="s">
        <v>53</v>
      </c>
      <c r="B3" t="s">
        <v>97</v>
      </c>
      <c r="C3" t="s">
        <v>78</v>
      </c>
      <c r="D3" t="s">
        <v>65</v>
      </c>
      <c r="E3">
        <v>106860.04306556293</v>
      </c>
      <c r="F3" t="s">
        <v>99</v>
      </c>
    </row>
    <row r="4" spans="1:6" x14ac:dyDescent="0.55000000000000004">
      <c r="A4" t="s">
        <v>10</v>
      </c>
      <c r="B4" t="s">
        <v>97</v>
      </c>
      <c r="C4" t="s">
        <v>71</v>
      </c>
      <c r="D4" t="s">
        <v>32</v>
      </c>
      <c r="E4">
        <f>$E$2*E10</f>
        <v>101965.80217591766</v>
      </c>
      <c r="F4" t="s">
        <v>100</v>
      </c>
    </row>
    <row r="5" spans="1:6" x14ac:dyDescent="0.55000000000000004">
      <c r="A5" t="s">
        <v>10</v>
      </c>
      <c r="B5" t="s">
        <v>97</v>
      </c>
      <c r="C5" t="s">
        <v>71</v>
      </c>
      <c r="D5" t="s">
        <v>98</v>
      </c>
      <c r="E5">
        <f t="shared" ref="E5:E8" si="0">$E$2*E11</f>
        <v>2271.9092244312801</v>
      </c>
      <c r="F5" t="s">
        <v>100</v>
      </c>
    </row>
    <row r="6" spans="1:6" x14ac:dyDescent="0.55000000000000004">
      <c r="A6" t="s">
        <v>10</v>
      </c>
      <c r="B6" t="s">
        <v>97</v>
      </c>
      <c r="C6" t="s">
        <v>71</v>
      </c>
      <c r="D6" t="s">
        <v>70</v>
      </c>
      <c r="E6">
        <f t="shared" si="0"/>
        <v>11716.30025983741</v>
      </c>
      <c r="F6" t="s">
        <v>100</v>
      </c>
    </row>
    <row r="7" spans="1:6" x14ac:dyDescent="0.55000000000000004">
      <c r="A7" t="s">
        <v>10</v>
      </c>
      <c r="B7" t="s">
        <v>97</v>
      </c>
      <c r="C7" t="s">
        <v>71</v>
      </c>
      <c r="D7" t="s">
        <v>35</v>
      </c>
      <c r="E7">
        <f t="shared" si="0"/>
        <v>109311.36125039663</v>
      </c>
      <c r="F7" t="s">
        <v>100</v>
      </c>
    </row>
    <row r="8" spans="1:6" x14ac:dyDescent="0.55000000000000004">
      <c r="A8" t="s">
        <v>10</v>
      </c>
      <c r="B8" t="s">
        <v>97</v>
      </c>
      <c r="C8" t="s">
        <v>71</v>
      </c>
      <c r="D8" t="s">
        <v>36</v>
      </c>
      <c r="E8">
        <f t="shared" si="0"/>
        <v>205753.27882043569</v>
      </c>
      <c r="F8" t="s">
        <v>100</v>
      </c>
    </row>
    <row r="9" spans="1:6" x14ac:dyDescent="0.55000000000000004">
      <c r="A9" t="s">
        <v>10</v>
      </c>
      <c r="B9" t="s">
        <v>97</v>
      </c>
      <c r="C9" t="s">
        <v>71</v>
      </c>
      <c r="D9" t="s">
        <v>68</v>
      </c>
      <c r="E9">
        <f>SUM(E4:E8)</f>
        <v>431018.65173101868</v>
      </c>
      <c r="F9" t="s">
        <v>101</v>
      </c>
    </row>
    <row r="10" spans="1:6" x14ac:dyDescent="0.55000000000000004">
      <c r="A10" t="s">
        <v>10</v>
      </c>
      <c r="B10" t="s">
        <v>97</v>
      </c>
      <c r="C10" t="s">
        <v>83</v>
      </c>
      <c r="D10" t="s">
        <v>32</v>
      </c>
      <c r="E10">
        <v>0.23656935000000001</v>
      </c>
      <c r="F10" t="s">
        <v>99</v>
      </c>
    </row>
    <row r="11" spans="1:6" x14ac:dyDescent="0.55000000000000004">
      <c r="A11" t="s">
        <v>10</v>
      </c>
      <c r="B11" t="s">
        <v>97</v>
      </c>
      <c r="C11" t="s">
        <v>83</v>
      </c>
      <c r="D11" t="s">
        <v>98</v>
      </c>
      <c r="E11">
        <v>5.2710229999999997E-3</v>
      </c>
      <c r="F11" t="s">
        <v>99</v>
      </c>
    </row>
    <row r="12" spans="1:6" x14ac:dyDescent="0.55000000000000004">
      <c r="A12" t="s">
        <v>10</v>
      </c>
      <c r="B12" t="s">
        <v>97</v>
      </c>
      <c r="C12" t="s">
        <v>83</v>
      </c>
      <c r="D12" t="s">
        <v>70</v>
      </c>
      <c r="E12">
        <v>2.7182814999999999E-2</v>
      </c>
      <c r="F12" t="s">
        <v>99</v>
      </c>
    </row>
    <row r="13" spans="1:6" x14ac:dyDescent="0.55000000000000004">
      <c r="A13" t="s">
        <v>10</v>
      </c>
      <c r="B13" t="s">
        <v>97</v>
      </c>
      <c r="C13" t="s">
        <v>83</v>
      </c>
      <c r="D13" t="s">
        <v>35</v>
      </c>
      <c r="E13">
        <v>0.25361167299999998</v>
      </c>
      <c r="F13" t="s">
        <v>99</v>
      </c>
    </row>
    <row r="14" spans="1:6" x14ac:dyDescent="0.55000000000000004">
      <c r="A14" t="s">
        <v>10</v>
      </c>
      <c r="B14" t="s">
        <v>97</v>
      </c>
      <c r="C14" t="s">
        <v>83</v>
      </c>
      <c r="D14" t="s">
        <v>36</v>
      </c>
      <c r="E14">
        <v>0.47736514000000002</v>
      </c>
      <c r="F14" t="s">
        <v>99</v>
      </c>
    </row>
    <row r="15" spans="1:6" x14ac:dyDescent="0.55000000000000004">
      <c r="A15" t="s">
        <v>10</v>
      </c>
      <c r="B15" t="s">
        <v>97</v>
      </c>
      <c r="C15" t="s">
        <v>83</v>
      </c>
      <c r="D15" t="s">
        <v>68</v>
      </c>
      <c r="E15">
        <v>1</v>
      </c>
      <c r="F15" t="s">
        <v>102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2D6C-E08B-4C2E-8CFF-FD15F8DE43BC}">
  <dimension ref="A1:F16"/>
  <sheetViews>
    <sheetView workbookViewId="0">
      <selection activeCell="E3" sqref="E3"/>
    </sheetView>
  </sheetViews>
  <sheetFormatPr defaultRowHeight="14.4" x14ac:dyDescent="0.55000000000000004"/>
  <cols>
    <col min="1" max="1" width="6.41796875" bestFit="1" customWidth="1"/>
    <col min="2" max="2" width="21.68359375" bestFit="1" customWidth="1"/>
    <col min="3" max="3" width="21" bestFit="1" customWidth="1"/>
    <col min="4" max="4" width="17.5234375" bestFit="1" customWidth="1"/>
    <col min="5" max="5" width="12" bestFit="1" customWidth="1"/>
    <col min="6" max="6" width="16.89453125" bestFit="1" customWidth="1"/>
    <col min="11" max="11" width="14.7890625" customWidth="1"/>
  </cols>
  <sheetData>
    <row r="1" spans="1:6" x14ac:dyDescent="0.55000000000000004">
      <c r="A1" t="s">
        <v>0</v>
      </c>
      <c r="B1" t="s">
        <v>74</v>
      </c>
      <c r="C1" t="s">
        <v>2</v>
      </c>
      <c r="D1" t="s">
        <v>75</v>
      </c>
      <c r="E1" t="s">
        <v>42</v>
      </c>
      <c r="F1" t="s">
        <v>76</v>
      </c>
    </row>
    <row r="2" spans="1:6" x14ac:dyDescent="0.55000000000000004">
      <c r="A2" t="s">
        <v>10</v>
      </c>
      <c r="B2" t="s">
        <v>104</v>
      </c>
      <c r="C2" t="s">
        <v>71</v>
      </c>
      <c r="D2" t="s">
        <v>79</v>
      </c>
      <c r="E2">
        <v>50153.30831</v>
      </c>
      <c r="F2" t="s">
        <v>99</v>
      </c>
    </row>
    <row r="3" spans="1:6" x14ac:dyDescent="0.55000000000000004">
      <c r="A3" t="s">
        <v>10</v>
      </c>
      <c r="B3" t="s">
        <v>104</v>
      </c>
      <c r="C3" t="s">
        <v>71</v>
      </c>
      <c r="D3" t="s">
        <v>67</v>
      </c>
      <c r="E3">
        <v>73650.130550000002</v>
      </c>
      <c r="F3" t="s">
        <v>99</v>
      </c>
    </row>
    <row r="4" spans="1:6" x14ac:dyDescent="0.55000000000000004">
      <c r="A4" t="s">
        <v>10</v>
      </c>
      <c r="B4" t="s">
        <v>104</v>
      </c>
      <c r="C4" t="s">
        <v>71</v>
      </c>
      <c r="D4" t="s">
        <v>68</v>
      </c>
      <c r="E4">
        <v>123803.43885999999</v>
      </c>
      <c r="F4" t="s">
        <v>105</v>
      </c>
    </row>
    <row r="5" spans="1:6" x14ac:dyDescent="0.55000000000000004">
      <c r="A5" t="s">
        <v>10</v>
      </c>
      <c r="B5" t="s">
        <v>104</v>
      </c>
      <c r="C5" t="s">
        <v>103</v>
      </c>
      <c r="D5" t="s">
        <v>32</v>
      </c>
      <c r="E5">
        <f>$E$4*E11</f>
        <v>37477.401392065694</v>
      </c>
      <c r="F5" t="s">
        <v>106</v>
      </c>
    </row>
    <row r="6" spans="1:6" x14ac:dyDescent="0.55000000000000004">
      <c r="A6" t="s">
        <v>10</v>
      </c>
      <c r="B6" t="s">
        <v>104</v>
      </c>
      <c r="C6" t="s">
        <v>103</v>
      </c>
      <c r="D6" t="s">
        <v>69</v>
      </c>
      <c r="E6">
        <f>$E$4*E12</f>
        <v>874.21668931840611</v>
      </c>
      <c r="F6" t="s">
        <v>106</v>
      </c>
    </row>
    <row r="7" spans="1:6" x14ac:dyDescent="0.55000000000000004">
      <c r="A7" t="s">
        <v>10</v>
      </c>
      <c r="B7" t="s">
        <v>104</v>
      </c>
      <c r="C7" t="s">
        <v>103</v>
      </c>
      <c r="D7" t="s">
        <v>70</v>
      </c>
      <c r="E7">
        <f>$E$4*E13</f>
        <v>5290.4425838219577</v>
      </c>
      <c r="F7" t="s">
        <v>106</v>
      </c>
    </row>
    <row r="8" spans="1:6" x14ac:dyDescent="0.55000000000000004">
      <c r="A8" t="s">
        <v>10</v>
      </c>
      <c r="B8" t="s">
        <v>104</v>
      </c>
      <c r="C8" t="s">
        <v>103</v>
      </c>
      <c r="D8" t="s">
        <v>35</v>
      </c>
      <c r="E8">
        <f>$E$4*E14</f>
        <v>58900.753784858927</v>
      </c>
      <c r="F8" t="s">
        <v>106</v>
      </c>
    </row>
    <row r="9" spans="1:6" x14ac:dyDescent="0.55000000000000004">
      <c r="A9" t="s">
        <v>10</v>
      </c>
      <c r="B9" t="s">
        <v>104</v>
      </c>
      <c r="C9" t="s">
        <v>103</v>
      </c>
      <c r="D9" t="s">
        <v>36</v>
      </c>
      <c r="E9">
        <f>$E$4*E15</f>
        <v>21260.624409935011</v>
      </c>
      <c r="F9" t="s">
        <v>106</v>
      </c>
    </row>
    <row r="10" spans="1:6" x14ac:dyDescent="0.55000000000000004">
      <c r="A10" t="s">
        <v>10</v>
      </c>
      <c r="B10" t="s">
        <v>104</v>
      </c>
      <c r="C10" t="s">
        <v>103</v>
      </c>
      <c r="D10" t="s">
        <v>68</v>
      </c>
      <c r="E10">
        <v>123803.43889999999</v>
      </c>
      <c r="F10" t="s">
        <v>101</v>
      </c>
    </row>
    <row r="11" spans="1:6" x14ac:dyDescent="0.55000000000000004">
      <c r="A11" t="s">
        <v>10</v>
      </c>
      <c r="B11" t="s">
        <v>104</v>
      </c>
      <c r="C11" t="s">
        <v>83</v>
      </c>
      <c r="D11" t="s">
        <v>32</v>
      </c>
      <c r="E11">
        <v>0.30271696599999998</v>
      </c>
      <c r="F11" t="s">
        <v>99</v>
      </c>
    </row>
    <row r="12" spans="1:6" x14ac:dyDescent="0.55000000000000004">
      <c r="A12" t="s">
        <v>10</v>
      </c>
      <c r="B12" t="s">
        <v>104</v>
      </c>
      <c r="C12" t="s">
        <v>83</v>
      </c>
      <c r="D12" t="s">
        <v>69</v>
      </c>
      <c r="E12">
        <v>7.0613280000000004E-3</v>
      </c>
      <c r="F12" t="s">
        <v>99</v>
      </c>
    </row>
    <row r="13" spans="1:6" x14ac:dyDescent="0.55000000000000004">
      <c r="A13" t="s">
        <v>10</v>
      </c>
      <c r="B13" t="s">
        <v>104</v>
      </c>
      <c r="C13" t="s">
        <v>83</v>
      </c>
      <c r="D13" t="s">
        <v>70</v>
      </c>
      <c r="E13">
        <v>4.2732597999999997E-2</v>
      </c>
      <c r="F13" t="s">
        <v>99</v>
      </c>
    </row>
    <row r="14" spans="1:6" x14ac:dyDescent="0.55000000000000004">
      <c r="A14" t="s">
        <v>10</v>
      </c>
      <c r="B14" t="s">
        <v>104</v>
      </c>
      <c r="C14" t="s">
        <v>83</v>
      </c>
      <c r="D14" t="s">
        <v>35</v>
      </c>
      <c r="E14">
        <v>0.47576024</v>
      </c>
      <c r="F14" t="s">
        <v>99</v>
      </c>
    </row>
    <row r="15" spans="1:6" x14ac:dyDescent="0.55000000000000004">
      <c r="A15" t="s">
        <v>10</v>
      </c>
      <c r="B15" t="s">
        <v>104</v>
      </c>
      <c r="C15" t="s">
        <v>83</v>
      </c>
      <c r="D15" t="s">
        <v>36</v>
      </c>
      <c r="E15">
        <v>0.17172886800000001</v>
      </c>
      <c r="F15" t="s">
        <v>99</v>
      </c>
    </row>
    <row r="16" spans="1:6" x14ac:dyDescent="0.55000000000000004">
      <c r="A16" t="s">
        <v>10</v>
      </c>
      <c r="B16" t="s">
        <v>104</v>
      </c>
      <c r="C16" t="s">
        <v>83</v>
      </c>
      <c r="D16" t="s">
        <v>68</v>
      </c>
      <c r="E16">
        <v>1</v>
      </c>
      <c r="F16" t="s">
        <v>102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FBD5-2A71-4A9C-96A9-FC5D8EBD2298}">
  <dimension ref="A1:F14"/>
  <sheetViews>
    <sheetView workbookViewId="0">
      <selection activeCell="G14" sqref="G14"/>
    </sheetView>
  </sheetViews>
  <sheetFormatPr defaultRowHeight="14.4" x14ac:dyDescent="0.55000000000000004"/>
  <cols>
    <col min="1" max="1" width="6" bestFit="1" customWidth="1"/>
    <col min="2" max="2" width="15.20703125" bestFit="1" customWidth="1"/>
    <col min="3" max="3" width="21.5234375" bestFit="1" customWidth="1"/>
    <col min="4" max="4" width="15.20703125" bestFit="1" customWidth="1"/>
    <col min="5" max="5" width="11.68359375" bestFit="1" customWidth="1"/>
    <col min="6" max="6" width="16" bestFit="1" customWidth="1"/>
  </cols>
  <sheetData>
    <row r="1" spans="1:6" x14ac:dyDescent="0.55000000000000004">
      <c r="A1" t="s">
        <v>0</v>
      </c>
      <c r="B1" t="s">
        <v>74</v>
      </c>
      <c r="C1" t="s">
        <v>2</v>
      </c>
      <c r="D1" t="s">
        <v>75</v>
      </c>
      <c r="E1" t="s">
        <v>42</v>
      </c>
      <c r="F1" t="s">
        <v>76</v>
      </c>
    </row>
    <row r="2" spans="1:6" x14ac:dyDescent="0.55000000000000004">
      <c r="A2" t="s">
        <v>10</v>
      </c>
      <c r="B2" t="s">
        <v>66</v>
      </c>
      <c r="C2" t="s">
        <v>71</v>
      </c>
      <c r="D2" t="s">
        <v>66</v>
      </c>
      <c r="E2">
        <v>49862.373</v>
      </c>
      <c r="F2" t="s">
        <v>99</v>
      </c>
    </row>
    <row r="3" spans="1:6" x14ac:dyDescent="0.55000000000000004">
      <c r="A3" t="s">
        <v>53</v>
      </c>
      <c r="B3" t="s">
        <v>66</v>
      </c>
      <c r="C3" t="s">
        <v>78</v>
      </c>
      <c r="D3" t="s">
        <v>66</v>
      </c>
      <c r="E3" s="11">
        <v>10000</v>
      </c>
      <c r="F3" t="s">
        <v>99</v>
      </c>
    </row>
    <row r="4" spans="1:6" x14ac:dyDescent="0.55000000000000004">
      <c r="A4" t="s">
        <v>10</v>
      </c>
      <c r="B4" t="s">
        <v>66</v>
      </c>
      <c r="C4" t="s">
        <v>107</v>
      </c>
      <c r="D4" t="s">
        <v>32</v>
      </c>
      <c r="E4">
        <f>$E$2*E9</f>
        <v>9012.7826815456319</v>
      </c>
      <c r="F4" t="s">
        <v>106</v>
      </c>
    </row>
    <row r="5" spans="1:6" x14ac:dyDescent="0.55000000000000004">
      <c r="A5" t="s">
        <v>10</v>
      </c>
      <c r="B5" t="s">
        <v>66</v>
      </c>
      <c r="C5" t="s">
        <v>107</v>
      </c>
      <c r="D5" t="s">
        <v>69</v>
      </c>
      <c r="E5">
        <f>$E$2*E10</f>
        <v>407.98370891110795</v>
      </c>
      <c r="F5" t="s">
        <v>106</v>
      </c>
    </row>
    <row r="6" spans="1:6" x14ac:dyDescent="0.55000000000000004">
      <c r="A6" t="s">
        <v>10</v>
      </c>
      <c r="B6" t="s">
        <v>66</v>
      </c>
      <c r="C6" t="s">
        <v>107</v>
      </c>
      <c r="D6" t="s">
        <v>35</v>
      </c>
      <c r="E6">
        <f>$E$2*E12</f>
        <v>26916.218738301552</v>
      </c>
      <c r="F6" t="s">
        <v>106</v>
      </c>
    </row>
    <row r="7" spans="1:6" x14ac:dyDescent="0.55000000000000004">
      <c r="A7" t="s">
        <v>10</v>
      </c>
      <c r="B7" t="s">
        <v>66</v>
      </c>
      <c r="C7" t="s">
        <v>107</v>
      </c>
      <c r="D7" t="s">
        <v>36</v>
      </c>
      <c r="E7">
        <f>$E$2*E13</f>
        <v>13525.38792110408</v>
      </c>
      <c r="F7" t="s">
        <v>106</v>
      </c>
    </row>
    <row r="8" spans="1:6" x14ac:dyDescent="0.55000000000000004">
      <c r="A8" t="s">
        <v>10</v>
      </c>
      <c r="B8" t="s">
        <v>66</v>
      </c>
      <c r="C8" t="s">
        <v>107</v>
      </c>
      <c r="D8" t="s">
        <v>68</v>
      </c>
      <c r="E8">
        <f>SUM(E4:E7)</f>
        <v>49862.373049862377</v>
      </c>
      <c r="F8" t="s">
        <v>101</v>
      </c>
    </row>
    <row r="9" spans="1:6" x14ac:dyDescent="0.55000000000000004">
      <c r="A9" t="s">
        <v>10</v>
      </c>
      <c r="B9" t="s">
        <v>66</v>
      </c>
      <c r="C9" t="s">
        <v>83</v>
      </c>
      <c r="D9" t="s">
        <v>32</v>
      </c>
      <c r="E9">
        <v>0.18075318400000001</v>
      </c>
      <c r="F9" t="s">
        <v>99</v>
      </c>
    </row>
    <row r="10" spans="1:6" x14ac:dyDescent="0.55000000000000004">
      <c r="A10" t="s">
        <v>10</v>
      </c>
      <c r="B10" t="s">
        <v>66</v>
      </c>
      <c r="C10" t="s">
        <v>83</v>
      </c>
      <c r="D10" t="s">
        <v>69</v>
      </c>
      <c r="E10">
        <v>8.1821959999999992E-3</v>
      </c>
      <c r="F10" t="s">
        <v>99</v>
      </c>
    </row>
    <row r="11" spans="1:6" x14ac:dyDescent="0.55000000000000004">
      <c r="A11" t="s">
        <v>53</v>
      </c>
      <c r="B11" t="s">
        <v>66</v>
      </c>
      <c r="C11" t="s">
        <v>83</v>
      </c>
      <c r="D11" t="s">
        <v>34</v>
      </c>
      <c r="E11">
        <v>0</v>
      </c>
      <c r="F11" t="s">
        <v>99</v>
      </c>
    </row>
    <row r="12" spans="1:6" x14ac:dyDescent="0.55000000000000004">
      <c r="A12" t="s">
        <v>10</v>
      </c>
      <c r="B12" t="s">
        <v>66</v>
      </c>
      <c r="C12" t="s">
        <v>83</v>
      </c>
      <c r="D12" t="s">
        <v>35</v>
      </c>
      <c r="E12">
        <v>0.53981022400000001</v>
      </c>
      <c r="F12" t="s">
        <v>99</v>
      </c>
    </row>
    <row r="13" spans="1:6" x14ac:dyDescent="0.55000000000000004">
      <c r="A13" t="s">
        <v>10</v>
      </c>
      <c r="B13" t="s">
        <v>66</v>
      </c>
      <c r="C13" t="s">
        <v>83</v>
      </c>
      <c r="D13" t="s">
        <v>36</v>
      </c>
      <c r="E13">
        <v>0.27125439699999998</v>
      </c>
      <c r="F13" t="s">
        <v>99</v>
      </c>
    </row>
    <row r="14" spans="1:6" x14ac:dyDescent="0.55000000000000004">
      <c r="A14" t="s">
        <v>10</v>
      </c>
      <c r="B14" t="s">
        <v>66</v>
      </c>
      <c r="C14" t="s">
        <v>83</v>
      </c>
      <c r="D14" t="s">
        <v>68</v>
      </c>
      <c r="E14">
        <v>1</v>
      </c>
      <c r="F14" t="s">
        <v>102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D29C-43CB-4294-9FB0-3B7BAE4671EC}">
  <dimension ref="A1:F15"/>
  <sheetViews>
    <sheetView workbookViewId="0">
      <selection activeCell="I13" sqref="I13"/>
    </sheetView>
  </sheetViews>
  <sheetFormatPr defaultRowHeight="14.4" x14ac:dyDescent="0.55000000000000004"/>
  <cols>
    <col min="1" max="1" width="6" bestFit="1" customWidth="1"/>
    <col min="2" max="2" width="16.5234375" bestFit="1" customWidth="1"/>
    <col min="3" max="3" width="25.3125" bestFit="1" customWidth="1"/>
    <col min="4" max="4" width="16.5234375" bestFit="1" customWidth="1"/>
    <col min="5" max="5" width="11.68359375" bestFit="1" customWidth="1"/>
    <col min="6" max="6" width="16" bestFit="1" customWidth="1"/>
    <col min="8" max="8" width="16.5234375" bestFit="1" customWidth="1"/>
  </cols>
  <sheetData>
    <row r="1" spans="1:6" x14ac:dyDescent="0.55000000000000004">
      <c r="A1" t="s">
        <v>0</v>
      </c>
      <c r="B1" t="s">
        <v>74</v>
      </c>
      <c r="C1" t="s">
        <v>2</v>
      </c>
      <c r="D1" t="s">
        <v>75</v>
      </c>
      <c r="E1" t="s">
        <v>42</v>
      </c>
      <c r="F1" t="s">
        <v>76</v>
      </c>
    </row>
    <row r="2" spans="1:6" x14ac:dyDescent="0.55000000000000004">
      <c r="A2" t="s">
        <v>10</v>
      </c>
      <c r="B2" t="s">
        <v>67</v>
      </c>
      <c r="C2" t="s">
        <v>78</v>
      </c>
      <c r="D2" t="s">
        <v>67</v>
      </c>
      <c r="E2">
        <v>15098.827163009601</v>
      </c>
      <c r="F2" t="s">
        <v>99</v>
      </c>
    </row>
    <row r="3" spans="1:6" x14ac:dyDescent="0.55000000000000004">
      <c r="A3" t="s">
        <v>53</v>
      </c>
      <c r="B3" t="s">
        <v>67</v>
      </c>
      <c r="C3" t="s">
        <v>71</v>
      </c>
      <c r="D3" t="s">
        <v>67</v>
      </c>
      <c r="E3">
        <v>73650.130550000002</v>
      </c>
      <c r="F3" t="s">
        <v>99</v>
      </c>
    </row>
    <row r="4" spans="1:6" x14ac:dyDescent="0.55000000000000004">
      <c r="A4" t="s">
        <v>10</v>
      </c>
      <c r="B4" t="s">
        <v>67</v>
      </c>
      <c r="C4" t="s">
        <v>108</v>
      </c>
      <c r="D4" t="s">
        <v>32</v>
      </c>
      <c r="E4">
        <f>$E$3*E10</f>
        <v>16491.035567962252</v>
      </c>
      <c r="F4" t="s">
        <v>106</v>
      </c>
    </row>
    <row r="5" spans="1:6" x14ac:dyDescent="0.55000000000000004">
      <c r="A5" t="s">
        <v>10</v>
      </c>
      <c r="B5" t="s">
        <v>67</v>
      </c>
      <c r="C5" t="s">
        <v>108</v>
      </c>
      <c r="D5" t="s">
        <v>69</v>
      </c>
      <c r="E5">
        <f>$E$3*E11</f>
        <v>737.70776828853957</v>
      </c>
      <c r="F5" t="s">
        <v>106</v>
      </c>
    </row>
    <row r="6" spans="1:6" x14ac:dyDescent="0.55000000000000004">
      <c r="A6" t="s">
        <v>10</v>
      </c>
      <c r="B6" t="s">
        <v>67</v>
      </c>
      <c r="C6" t="s">
        <v>108</v>
      </c>
      <c r="D6" t="s">
        <v>70</v>
      </c>
      <c r="E6">
        <f>$E$3*E12</f>
        <v>4468.2212184841628</v>
      </c>
      <c r="F6" t="s">
        <v>106</v>
      </c>
    </row>
    <row r="7" spans="1:6" x14ac:dyDescent="0.55000000000000004">
      <c r="A7" t="s">
        <v>10</v>
      </c>
      <c r="B7" t="s">
        <v>67</v>
      </c>
      <c r="C7" t="s">
        <v>108</v>
      </c>
      <c r="D7" t="s">
        <v>35</v>
      </c>
      <c r="E7">
        <f>$E$3*E13</f>
        <v>46825.702016327057</v>
      </c>
      <c r="F7" t="s">
        <v>106</v>
      </c>
    </row>
    <row r="8" spans="1:6" x14ac:dyDescent="0.55000000000000004">
      <c r="A8" t="s">
        <v>10</v>
      </c>
      <c r="B8" t="s">
        <v>67</v>
      </c>
      <c r="C8" t="s">
        <v>108</v>
      </c>
      <c r="D8" t="s">
        <v>36</v>
      </c>
      <c r="E8">
        <f>$E$3*E14</f>
        <v>5127.4639789379962</v>
      </c>
      <c r="F8" t="s">
        <v>106</v>
      </c>
    </row>
    <row r="9" spans="1:6" x14ac:dyDescent="0.55000000000000004">
      <c r="A9" t="s">
        <v>10</v>
      </c>
      <c r="B9" t="s">
        <v>67</v>
      </c>
      <c r="C9" t="s">
        <v>108</v>
      </c>
      <c r="D9" t="s">
        <v>68</v>
      </c>
      <c r="E9">
        <f>SUM(E4:E8)</f>
        <v>73650.130550000016</v>
      </c>
      <c r="F9" t="s">
        <v>101</v>
      </c>
    </row>
    <row r="10" spans="1:6" x14ac:dyDescent="0.55000000000000004">
      <c r="A10" t="s">
        <v>10</v>
      </c>
      <c r="B10" t="s">
        <v>67</v>
      </c>
      <c r="C10" t="s">
        <v>83</v>
      </c>
      <c r="D10" t="s">
        <v>32</v>
      </c>
      <c r="E10">
        <v>0.223910473</v>
      </c>
      <c r="F10" t="s">
        <v>99</v>
      </c>
    </row>
    <row r="11" spans="1:6" x14ac:dyDescent="0.55000000000000004">
      <c r="A11" t="s">
        <v>10</v>
      </c>
      <c r="B11" t="s">
        <v>67</v>
      </c>
      <c r="C11" t="s">
        <v>83</v>
      </c>
      <c r="D11" t="s">
        <v>69</v>
      </c>
      <c r="E11">
        <v>1.0016381E-2</v>
      </c>
      <c r="F11" t="s">
        <v>99</v>
      </c>
    </row>
    <row r="12" spans="1:6" x14ac:dyDescent="0.55000000000000004">
      <c r="A12" t="s">
        <v>10</v>
      </c>
      <c r="B12" t="s">
        <v>67</v>
      </c>
      <c r="C12" t="s">
        <v>83</v>
      </c>
      <c r="D12" t="s">
        <v>70</v>
      </c>
      <c r="E12">
        <v>6.0668205000000003E-2</v>
      </c>
      <c r="F12" t="s">
        <v>99</v>
      </c>
    </row>
    <row r="13" spans="1:6" x14ac:dyDescent="0.55000000000000004">
      <c r="A13" t="s">
        <v>10</v>
      </c>
      <c r="B13" t="s">
        <v>67</v>
      </c>
      <c r="C13" t="s">
        <v>83</v>
      </c>
      <c r="D13" t="s">
        <v>35</v>
      </c>
      <c r="E13">
        <v>0.63578573000000005</v>
      </c>
      <c r="F13" t="s">
        <v>99</v>
      </c>
    </row>
    <row r="14" spans="1:6" x14ac:dyDescent="0.55000000000000004">
      <c r="A14" t="s">
        <v>10</v>
      </c>
      <c r="B14" t="s">
        <v>67</v>
      </c>
      <c r="C14" t="s">
        <v>83</v>
      </c>
      <c r="D14" t="s">
        <v>36</v>
      </c>
      <c r="E14">
        <v>6.9619211E-2</v>
      </c>
      <c r="F14" t="s">
        <v>99</v>
      </c>
    </row>
    <row r="15" spans="1:6" x14ac:dyDescent="0.55000000000000004">
      <c r="A15" t="s">
        <v>10</v>
      </c>
      <c r="B15" t="s">
        <v>67</v>
      </c>
      <c r="C15" t="s">
        <v>83</v>
      </c>
      <c r="D15" t="s">
        <v>68</v>
      </c>
      <c r="E15">
        <v>1</v>
      </c>
      <c r="F15" t="s">
        <v>102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263F-21DD-4789-9D82-A52D2169D8FE}">
  <dimension ref="A1:F15"/>
  <sheetViews>
    <sheetView workbookViewId="0">
      <selection activeCell="F2" sqref="F2:F3"/>
    </sheetView>
  </sheetViews>
  <sheetFormatPr defaultRowHeight="14.4" x14ac:dyDescent="0.55000000000000004"/>
  <cols>
    <col min="1" max="1" width="6" bestFit="1" customWidth="1"/>
    <col min="2" max="2" width="16" bestFit="1" customWidth="1"/>
    <col min="3" max="3" width="21" bestFit="1" customWidth="1"/>
    <col min="4" max="4" width="16" bestFit="1" customWidth="1"/>
    <col min="5" max="5" width="11.68359375" bestFit="1" customWidth="1"/>
    <col min="6" max="6" width="16" bestFit="1" customWidth="1"/>
  </cols>
  <sheetData>
    <row r="1" spans="1:6" x14ac:dyDescent="0.55000000000000004">
      <c r="A1" t="s">
        <v>0</v>
      </c>
      <c r="B1" t="s">
        <v>74</v>
      </c>
      <c r="C1" t="s">
        <v>2</v>
      </c>
      <c r="D1" t="s">
        <v>75</v>
      </c>
      <c r="E1" t="s">
        <v>42</v>
      </c>
      <c r="F1" t="s">
        <v>76</v>
      </c>
    </row>
    <row r="2" spans="1:6" x14ac:dyDescent="0.55000000000000004">
      <c r="A2" t="s">
        <v>10</v>
      </c>
      <c r="B2" t="s">
        <v>79</v>
      </c>
      <c r="C2" t="s">
        <v>71</v>
      </c>
      <c r="D2" t="s">
        <v>79</v>
      </c>
      <c r="E2">
        <v>50153.30831</v>
      </c>
      <c r="F2" t="s">
        <v>99</v>
      </c>
    </row>
    <row r="3" spans="1:6" x14ac:dyDescent="0.55000000000000004">
      <c r="A3" t="s">
        <v>53</v>
      </c>
      <c r="B3" t="s">
        <v>79</v>
      </c>
      <c r="C3" t="s">
        <v>78</v>
      </c>
      <c r="D3" t="s">
        <v>79</v>
      </c>
      <c r="E3">
        <v>18325</v>
      </c>
      <c r="F3" t="s">
        <v>99</v>
      </c>
    </row>
    <row r="4" spans="1:6" x14ac:dyDescent="0.55000000000000004">
      <c r="A4" t="s">
        <v>10</v>
      </c>
      <c r="B4" t="s">
        <v>79</v>
      </c>
      <c r="C4" t="s">
        <v>109</v>
      </c>
      <c r="D4" t="s">
        <v>32</v>
      </c>
      <c r="E4">
        <f>$E$2*E10</f>
        <v>30926.163296891042</v>
      </c>
      <c r="F4" t="s">
        <v>106</v>
      </c>
    </row>
    <row r="5" spans="1:6" x14ac:dyDescent="0.55000000000000004">
      <c r="A5" t="s">
        <v>10</v>
      </c>
      <c r="B5" t="s">
        <v>79</v>
      </c>
      <c r="C5" t="s">
        <v>109</v>
      </c>
      <c r="D5" t="s">
        <v>69</v>
      </c>
      <c r="E5">
        <f t="shared" ref="E5:E8" si="0">$E$2*E11</f>
        <v>0</v>
      </c>
      <c r="F5" t="s">
        <v>106</v>
      </c>
    </row>
    <row r="6" spans="1:6" x14ac:dyDescent="0.55000000000000004">
      <c r="A6" t="s">
        <v>10</v>
      </c>
      <c r="B6" t="s">
        <v>79</v>
      </c>
      <c r="C6" t="s">
        <v>109</v>
      </c>
      <c r="D6" t="s">
        <v>70</v>
      </c>
      <c r="E6">
        <f t="shared" si="0"/>
        <v>3382.7845239575013</v>
      </c>
      <c r="F6" t="s">
        <v>106</v>
      </c>
    </row>
    <row r="7" spans="1:6" x14ac:dyDescent="0.55000000000000004">
      <c r="A7" t="s">
        <v>10</v>
      </c>
      <c r="B7" t="s">
        <v>79</v>
      </c>
      <c r="C7" t="s">
        <v>109</v>
      </c>
      <c r="D7" t="s">
        <v>35</v>
      </c>
      <c r="E7">
        <f>$E$2*E13</f>
        <v>4453.3669734978066</v>
      </c>
      <c r="F7" t="s">
        <v>106</v>
      </c>
    </row>
    <row r="8" spans="1:6" x14ac:dyDescent="0.55000000000000004">
      <c r="A8" t="s">
        <v>10</v>
      </c>
      <c r="B8" t="s">
        <v>79</v>
      </c>
      <c r="C8" t="s">
        <v>109</v>
      </c>
      <c r="D8" t="s">
        <v>36</v>
      </c>
      <c r="E8">
        <f t="shared" si="0"/>
        <v>11390.993515653652</v>
      </c>
      <c r="F8" t="s">
        <v>106</v>
      </c>
    </row>
    <row r="9" spans="1:6" x14ac:dyDescent="0.55000000000000004">
      <c r="A9" t="s">
        <v>10</v>
      </c>
      <c r="B9" t="s">
        <v>79</v>
      </c>
      <c r="C9" t="s">
        <v>109</v>
      </c>
      <c r="D9" t="s">
        <v>68</v>
      </c>
      <c r="E9">
        <f>SUM(E4:E8)</f>
        <v>50153.308310000008</v>
      </c>
      <c r="F9" t="s">
        <v>101</v>
      </c>
    </row>
    <row r="10" spans="1:6" x14ac:dyDescent="0.55000000000000004">
      <c r="A10" t="s">
        <v>10</v>
      </c>
      <c r="B10" t="s">
        <v>79</v>
      </c>
      <c r="C10" t="s">
        <v>83</v>
      </c>
      <c r="D10" t="s">
        <v>32</v>
      </c>
      <c r="E10">
        <v>0.61663256799999999</v>
      </c>
      <c r="F10" t="s">
        <v>99</v>
      </c>
    </row>
    <row r="11" spans="1:6" x14ac:dyDescent="0.55000000000000004">
      <c r="A11" t="s">
        <v>10</v>
      </c>
      <c r="B11" t="s">
        <v>79</v>
      </c>
      <c r="C11" t="s">
        <v>83</v>
      </c>
      <c r="D11" t="s">
        <v>69</v>
      </c>
      <c r="E11">
        <v>0</v>
      </c>
      <c r="F11" t="s">
        <v>99</v>
      </c>
    </row>
    <row r="12" spans="1:6" x14ac:dyDescent="0.55000000000000004">
      <c r="A12" t="s">
        <v>10</v>
      </c>
      <c r="B12" t="s">
        <v>79</v>
      </c>
      <c r="C12" t="s">
        <v>83</v>
      </c>
      <c r="D12" t="s">
        <v>70</v>
      </c>
      <c r="E12">
        <v>6.7448881000000002E-2</v>
      </c>
      <c r="F12" t="s">
        <v>99</v>
      </c>
    </row>
    <row r="13" spans="1:6" x14ac:dyDescent="0.55000000000000004">
      <c r="A13" t="s">
        <v>10</v>
      </c>
      <c r="B13" t="s">
        <v>79</v>
      </c>
      <c r="C13" t="s">
        <v>83</v>
      </c>
      <c r="D13" t="s">
        <v>35</v>
      </c>
      <c r="E13">
        <v>8.8795078999999999E-2</v>
      </c>
      <c r="F13" t="s">
        <v>99</v>
      </c>
    </row>
    <row r="14" spans="1:6" x14ac:dyDescent="0.55000000000000004">
      <c r="A14" t="s">
        <v>10</v>
      </c>
      <c r="B14" t="s">
        <v>79</v>
      </c>
      <c r="C14" t="s">
        <v>83</v>
      </c>
      <c r="D14" t="s">
        <v>36</v>
      </c>
      <c r="E14">
        <v>0.22712347199999999</v>
      </c>
      <c r="F14" t="s">
        <v>99</v>
      </c>
    </row>
    <row r="15" spans="1:6" x14ac:dyDescent="0.55000000000000004">
      <c r="A15" t="s">
        <v>10</v>
      </c>
      <c r="B15" t="s">
        <v>79</v>
      </c>
      <c r="C15" t="s">
        <v>83</v>
      </c>
      <c r="D15" t="s">
        <v>68</v>
      </c>
      <c r="E15">
        <v>1</v>
      </c>
      <c r="F15" t="s">
        <v>102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Manpower</vt:lpstr>
      <vt:lpstr>LC</vt:lpstr>
      <vt:lpstr>LH-A</vt:lpstr>
      <vt:lpstr>LM-M</vt:lpstr>
      <vt:lpstr>ACH</vt:lpstr>
      <vt:lpstr>ASCAM</vt:lpstr>
      <vt:lpstr>ASLAM</vt:lpstr>
      <vt:lpstr>SACH</vt:lpstr>
      <vt:lpstr>MMNO</vt:lpstr>
      <vt:lpstr>MMCO</vt:lpstr>
      <vt:lpstr>MSLAM</vt:lpstr>
      <vt:lpstr>WLL Overall</vt:lpstr>
      <vt:lpstr>WLL - AUTOMATIC</vt:lpstr>
      <vt:lpstr>WLL - JUKI Manual Order</vt:lpstr>
      <vt:lpstr>SEMI-AUTOMATIC</vt:lpstr>
      <vt:lpstr>WLL - JUKI - Normal</vt:lpstr>
      <vt:lpstr>WLL - JUKI - Critical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 Thadimudupula</dc:creator>
  <cp:lastModifiedBy>Sahith Thadimudupula</cp:lastModifiedBy>
  <dcterms:created xsi:type="dcterms:W3CDTF">2026-05-04T05:43:16Z</dcterms:created>
  <dcterms:modified xsi:type="dcterms:W3CDTF">2026-05-12T11:57:15Z</dcterms:modified>
</cp:coreProperties>
</file>